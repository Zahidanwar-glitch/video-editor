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7" customWidth="1" min="4" max="4"/>
    <col width="10" customWidth="1" min="5" max="5"/>
    <col width="9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BILL OF QUANTITIES - HVAC (QUANTITIES ONLY, NO PRICES) - DDA MIG Housing Scheme 182A (test run under KSA codes)</t>
        </is>
      </c>
    </row>
    <row r="2">
      <c r="A2" s="2" t="inlineStr">
        <is>
          <t>PRELIMINARY DESIGN - FOR COORDINATION ONLY. To be checked and stamped by a qualified HVAC engineer before construction.</t>
        </is>
      </c>
    </row>
    <row r="3">
      <c r="A3" t="inlineStr">
        <is>
          <t>Location: Riyadh, Saudi Arabia   Codes: Saudi Building Code + ASHRAE   Units: SI</t>
        </is>
      </c>
    </row>
    <row r="5">
      <c r="A5" s="3" t="inlineStr">
        <is>
          <t>Item No.</t>
        </is>
      </c>
      <c r="B5" s="3" t="inlineStr">
        <is>
          <t>Description</t>
        </is>
      </c>
      <c r="C5" s="3" t="inlineStr">
        <is>
          <t>Specification</t>
        </is>
      </c>
      <c r="D5" s="3" t="inlineStr">
        <is>
          <t>Unit</t>
        </is>
      </c>
      <c r="E5" s="3" t="inlineStr">
        <is>
          <t>Quantity</t>
        </is>
      </c>
      <c r="F5" s="3" t="inlineStr">
        <is>
          <t>Waste %</t>
        </is>
      </c>
      <c r="G5" s="3" t="inlineStr">
        <is>
          <t>Qty incl. allowance</t>
        </is>
      </c>
      <c r="H5" s="3" t="inlineStr">
        <is>
          <t>Floor/Zone</t>
        </is>
      </c>
      <c r="I5" s="3" t="inlineStr">
        <is>
          <t>Remarks</t>
        </is>
      </c>
    </row>
    <row r="6">
      <c r="A6" s="4" t="inlineStr">
        <is>
          <t>A. HVAC EQUIPMENT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inlineStr">
        <is>
          <t>A.1</t>
        </is>
      </c>
      <c r="B7" s="6" t="inlineStr">
        <is>
          <t>Wall-mounted split indoor unit</t>
        </is>
      </c>
      <c r="C7" s="6" t="inlineStr">
        <is>
          <t>WS-09: 2.6 kW nominal cooling, 140 L/s, ESP 0 Pa, heat 2.9 kW, R410A</t>
        </is>
      </c>
      <c r="D7" s="6" t="inlineStr">
        <is>
          <t>No.</t>
        </is>
      </c>
      <c r="E7" s="6" t="n">
        <v>1</v>
      </c>
      <c r="F7" s="7" t="n">
        <v>0</v>
      </c>
      <c r="G7" s="6">
        <f>ROUNDUP(E7*(1+F7/100),0)</f>
        <v/>
      </c>
      <c r="H7" s="6" t="inlineStr">
        <is>
          <t>Z-GF-01</t>
        </is>
      </c>
      <c r="I7" s="6" t="inlineStr">
        <is>
          <t>Tags: IU-GF-01</t>
        </is>
      </c>
    </row>
    <row r="8">
      <c r="A8" s="6" t="inlineStr">
        <is>
          <t>A.2</t>
        </is>
      </c>
      <c r="B8" s="6" t="inlineStr">
        <is>
          <t>Through-wall fresh air fan with G4 filter and weather hood</t>
        </is>
      </c>
      <c r="C8" s="6" t="inlineStr">
        <is>
          <t>FAF-15: 9 L/s, 12 W</t>
        </is>
      </c>
      <c r="D8" s="6" t="inlineStr">
        <is>
          <t>No.</t>
        </is>
      </c>
      <c r="E8" s="6" t="n">
        <v>1</v>
      </c>
      <c r="F8" s="7" t="n">
        <v>0</v>
      </c>
      <c r="G8" s="6">
        <f>ROUNDUP(E8*(1+F8/100),0)</f>
        <v/>
      </c>
      <c r="H8" s="6" t="inlineStr">
        <is>
          <t>Z-GF-01</t>
        </is>
      </c>
      <c r="I8" s="6" t="inlineStr">
        <is>
          <t>Tags: FAF-GF-01</t>
        </is>
      </c>
    </row>
    <row r="9">
      <c r="A9" s="6" t="inlineStr">
        <is>
          <t>A.3</t>
        </is>
      </c>
      <c r="B9" s="6" t="inlineStr">
        <is>
          <t>Wall-mounted split indoor unit</t>
        </is>
      </c>
      <c r="C9" s="6" t="inlineStr">
        <is>
          <t>WS-09: 2.6 kW nominal cooling, 140 L/s, ESP 0 Pa, heat 2.9 kW, R410A</t>
        </is>
      </c>
      <c r="D9" s="6" t="inlineStr">
        <is>
          <t>No.</t>
        </is>
      </c>
      <c r="E9" s="6" t="n">
        <v>1</v>
      </c>
      <c r="F9" s="7" t="n">
        <v>0</v>
      </c>
      <c r="G9" s="6">
        <f>ROUNDUP(E9*(1+F9/100),0)</f>
        <v/>
      </c>
      <c r="H9" s="6" t="inlineStr">
        <is>
          <t>Z-GF-02</t>
        </is>
      </c>
      <c r="I9" s="6" t="inlineStr">
        <is>
          <t>Tags: IU-GF-02</t>
        </is>
      </c>
    </row>
    <row r="10">
      <c r="A10" s="6" t="inlineStr">
        <is>
          <t>A.4</t>
        </is>
      </c>
      <c r="B10" s="6" t="inlineStr">
        <is>
          <t>Through-wall fresh air fan with G4 filter and weather hood</t>
        </is>
      </c>
      <c r="C10" s="6" t="inlineStr">
        <is>
          <t>FAF-15: 9 L/s, 12 W</t>
        </is>
      </c>
      <c r="D10" s="6" t="inlineStr">
        <is>
          <t>No.</t>
        </is>
      </c>
      <c r="E10" s="6" t="n">
        <v>1</v>
      </c>
      <c r="F10" s="7" t="n">
        <v>0</v>
      </c>
      <c r="G10" s="6">
        <f>ROUNDUP(E10*(1+F10/100),0)</f>
        <v/>
      </c>
      <c r="H10" s="6" t="inlineStr">
        <is>
          <t>Z-GF-02</t>
        </is>
      </c>
      <c r="I10" s="6" t="inlineStr">
        <is>
          <t>Tags: FAF-GF-02</t>
        </is>
      </c>
    </row>
    <row r="11">
      <c r="A11" s="6" t="inlineStr">
        <is>
          <t>A.5</t>
        </is>
      </c>
      <c r="B11" s="6" t="inlineStr">
        <is>
          <t>Wall-mounted split indoor unit</t>
        </is>
      </c>
      <c r="C11" s="6" t="inlineStr">
        <is>
          <t>WS-09: 2.6 kW nominal cooling, 140 L/s, ESP 0 Pa, heat 2.9 kW, R410A</t>
        </is>
      </c>
      <c r="D11" s="6" t="inlineStr">
        <is>
          <t>No.</t>
        </is>
      </c>
      <c r="E11" s="6" t="n">
        <v>1</v>
      </c>
      <c r="F11" s="7" t="n">
        <v>0</v>
      </c>
      <c r="G11" s="6">
        <f>ROUNDUP(E11*(1+F11/100),0)</f>
        <v/>
      </c>
      <c r="H11" s="6" t="inlineStr">
        <is>
          <t>Z-GF-03</t>
        </is>
      </c>
      <c r="I11" s="6" t="inlineStr">
        <is>
          <t>Tags: IU-GF-03</t>
        </is>
      </c>
    </row>
    <row r="12">
      <c r="A12" s="6" t="inlineStr">
        <is>
          <t>A.6</t>
        </is>
      </c>
      <c r="B12" s="6" t="inlineStr">
        <is>
          <t>Through-wall fresh air fan with G4 filter and weather hood</t>
        </is>
      </c>
      <c r="C12" s="6" t="inlineStr">
        <is>
          <t>FAF-15: 9 L/s, 12 W</t>
        </is>
      </c>
      <c r="D12" s="6" t="inlineStr">
        <is>
          <t>No.</t>
        </is>
      </c>
      <c r="E12" s="6" t="n">
        <v>1</v>
      </c>
      <c r="F12" s="7" t="n">
        <v>0</v>
      </c>
      <c r="G12" s="6">
        <f>ROUNDUP(E12*(1+F12/100),0)</f>
        <v/>
      </c>
      <c r="H12" s="6" t="inlineStr">
        <is>
          <t>Z-GF-03</t>
        </is>
      </c>
      <c r="I12" s="6" t="inlineStr">
        <is>
          <t>Tags: FAF-GF-03</t>
        </is>
      </c>
    </row>
    <row r="13">
      <c r="A13" s="6" t="inlineStr">
        <is>
          <t>A.7</t>
        </is>
      </c>
      <c r="B13" s="6" t="inlineStr">
        <is>
          <t>Wall-mounted split indoor unit</t>
        </is>
      </c>
      <c r="C13" s="6" t="inlineStr">
        <is>
          <t>WS-09: 2.6 kW nominal cooling, 140 L/s, ESP 0 Pa, heat 2.9 kW, R410A</t>
        </is>
      </c>
      <c r="D13" s="6" t="inlineStr">
        <is>
          <t>No.</t>
        </is>
      </c>
      <c r="E13" s="6" t="n">
        <v>1</v>
      </c>
      <c r="F13" s="7" t="n">
        <v>0</v>
      </c>
      <c r="G13" s="6">
        <f>ROUNDUP(E13*(1+F13/100),0)</f>
        <v/>
      </c>
      <c r="H13" s="6" t="inlineStr">
        <is>
          <t>Z-GF-04</t>
        </is>
      </c>
      <c r="I13" s="6" t="inlineStr">
        <is>
          <t>Tags: IU-GF-04</t>
        </is>
      </c>
    </row>
    <row r="14">
      <c r="A14" s="6" t="inlineStr">
        <is>
          <t>A.8</t>
        </is>
      </c>
      <c r="B14" s="6" t="inlineStr">
        <is>
          <t>Through-wall fresh air fan with G4 filter and weather hood</t>
        </is>
      </c>
      <c r="C14" s="6" t="inlineStr">
        <is>
          <t>FAF-15: 9 L/s, 12 W</t>
        </is>
      </c>
      <c r="D14" s="6" t="inlineStr">
        <is>
          <t>No.</t>
        </is>
      </c>
      <c r="E14" s="6" t="n">
        <v>1</v>
      </c>
      <c r="F14" s="7" t="n">
        <v>0</v>
      </c>
      <c r="G14" s="6">
        <f>ROUNDUP(E14*(1+F14/100),0)</f>
        <v/>
      </c>
      <c r="H14" s="6" t="inlineStr">
        <is>
          <t>Z-GF-04</t>
        </is>
      </c>
      <c r="I14" s="6" t="inlineStr">
        <is>
          <t>Tags: FAF-GF-04</t>
        </is>
      </c>
    </row>
    <row r="15">
      <c r="A15" s="6" t="inlineStr">
        <is>
          <t>A.9</t>
        </is>
      </c>
      <c r="B15" s="6" t="inlineStr">
        <is>
          <t>Wall-mounted split indoor unit</t>
        </is>
      </c>
      <c r="C15" s="6" t="inlineStr">
        <is>
          <t>WS-09: 2.6 kW nominal cooling, 140 L/s, ESP 0 Pa, heat 2.9 kW, R410A</t>
        </is>
      </c>
      <c r="D15" s="6" t="inlineStr">
        <is>
          <t>No.</t>
        </is>
      </c>
      <c r="E15" s="6" t="n">
        <v>1</v>
      </c>
      <c r="F15" s="7" t="n">
        <v>0</v>
      </c>
      <c r="G15" s="6">
        <f>ROUNDUP(E15*(1+F15/100),0)</f>
        <v/>
      </c>
      <c r="H15" s="6" t="inlineStr">
        <is>
          <t>Z-GF-05</t>
        </is>
      </c>
      <c r="I15" s="6" t="inlineStr">
        <is>
          <t>Tags: IU-GF-05</t>
        </is>
      </c>
    </row>
    <row r="16">
      <c r="A16" s="6" t="inlineStr">
        <is>
          <t>A.10</t>
        </is>
      </c>
      <c r="B16" s="6" t="inlineStr">
        <is>
          <t>Through-wall fresh air fan with G4 filter and weather hood</t>
        </is>
      </c>
      <c r="C16" s="6" t="inlineStr">
        <is>
          <t>FAF-15: 9 L/s, 12 W</t>
        </is>
      </c>
      <c r="D16" s="6" t="inlineStr">
        <is>
          <t>No.</t>
        </is>
      </c>
      <c r="E16" s="6" t="n">
        <v>1</v>
      </c>
      <c r="F16" s="7" t="n">
        <v>0</v>
      </c>
      <c r="G16" s="6">
        <f>ROUNDUP(E16*(1+F16/100),0)</f>
        <v/>
      </c>
      <c r="H16" s="6" t="inlineStr">
        <is>
          <t>Z-GF-05</t>
        </is>
      </c>
      <c r="I16" s="6" t="inlineStr">
        <is>
          <t>Tags: FAF-GF-05</t>
        </is>
      </c>
    </row>
    <row r="17">
      <c r="A17" s="6" t="inlineStr">
        <is>
          <t>A.11</t>
        </is>
      </c>
      <c r="B17" s="6" t="inlineStr">
        <is>
          <t>Wall-mounted split indoor unit</t>
        </is>
      </c>
      <c r="C17" s="6" t="inlineStr">
        <is>
          <t>WS-09: 2.6 kW nominal cooling, 140 L/s, ESP 0 Pa, heat 2.9 kW, R410A</t>
        </is>
      </c>
      <c r="D17" s="6" t="inlineStr">
        <is>
          <t>No.</t>
        </is>
      </c>
      <c r="E17" s="6" t="n">
        <v>1</v>
      </c>
      <c r="F17" s="7" t="n">
        <v>0</v>
      </c>
      <c r="G17" s="6">
        <f>ROUNDUP(E17*(1+F17/100),0)</f>
        <v/>
      </c>
      <c r="H17" s="6" t="inlineStr">
        <is>
          <t>Z-GF-06</t>
        </is>
      </c>
      <c r="I17" s="6" t="inlineStr">
        <is>
          <t>Tags: IU-GF-06</t>
        </is>
      </c>
    </row>
    <row r="18">
      <c r="A18" s="6" t="inlineStr">
        <is>
          <t>A.12</t>
        </is>
      </c>
      <c r="B18" s="6" t="inlineStr">
        <is>
          <t>Through-wall fresh air fan with G4 filter and weather hood</t>
        </is>
      </c>
      <c r="C18" s="6" t="inlineStr">
        <is>
          <t>FAF-15: 9 L/s, 12 W</t>
        </is>
      </c>
      <c r="D18" s="6" t="inlineStr">
        <is>
          <t>No.</t>
        </is>
      </c>
      <c r="E18" s="6" t="n">
        <v>1</v>
      </c>
      <c r="F18" s="7" t="n">
        <v>0</v>
      </c>
      <c r="G18" s="6">
        <f>ROUNDUP(E18*(1+F18/100),0)</f>
        <v/>
      </c>
      <c r="H18" s="6" t="inlineStr">
        <is>
          <t>Z-GF-06</t>
        </is>
      </c>
      <c r="I18" s="6" t="inlineStr">
        <is>
          <t>Tags: FAF-GF-06</t>
        </is>
      </c>
    </row>
    <row r="19">
      <c r="A19" s="6" t="inlineStr">
        <is>
          <t>A.13</t>
        </is>
      </c>
      <c r="B19" s="6" t="inlineStr">
        <is>
          <t>Wall-mounted split indoor unit</t>
        </is>
      </c>
      <c r="C19" s="6" t="inlineStr">
        <is>
          <t>WS-09: 2.6 kW nominal cooling, 140 L/s, ESP 0 Pa, heat 2.9 kW, R410A</t>
        </is>
      </c>
      <c r="D19" s="6" t="inlineStr">
        <is>
          <t>No.</t>
        </is>
      </c>
      <c r="E19" s="6" t="n">
        <v>1</v>
      </c>
      <c r="F19" s="7" t="n">
        <v>0</v>
      </c>
      <c r="G19" s="6">
        <f>ROUNDUP(E19*(1+F19/100),0)</f>
        <v/>
      </c>
      <c r="H19" s="6" t="inlineStr">
        <is>
          <t>Z-GF-07</t>
        </is>
      </c>
      <c r="I19" s="6" t="inlineStr">
        <is>
          <t>Tags: IU-GF-07</t>
        </is>
      </c>
    </row>
    <row r="20">
      <c r="A20" s="6" t="inlineStr">
        <is>
          <t>A.14</t>
        </is>
      </c>
      <c r="B20" s="6" t="inlineStr">
        <is>
          <t>Through-wall fresh air fan with G4 filter and weather hood</t>
        </is>
      </c>
      <c r="C20" s="6" t="inlineStr">
        <is>
          <t>FAF-15: 9 L/s, 12 W</t>
        </is>
      </c>
      <c r="D20" s="6" t="inlineStr">
        <is>
          <t>No.</t>
        </is>
      </c>
      <c r="E20" s="6" t="n">
        <v>1</v>
      </c>
      <c r="F20" s="7" t="n">
        <v>0</v>
      </c>
      <c r="G20" s="6">
        <f>ROUNDUP(E20*(1+F20/100),0)</f>
        <v/>
      </c>
      <c r="H20" s="6" t="inlineStr">
        <is>
          <t>Z-GF-07</t>
        </is>
      </c>
      <c r="I20" s="6" t="inlineStr">
        <is>
          <t>Tags: FAF-GF-07</t>
        </is>
      </c>
    </row>
    <row r="21">
      <c r="A21" s="6" t="inlineStr">
        <is>
          <t>A.15</t>
        </is>
      </c>
      <c r="B21" s="6" t="inlineStr">
        <is>
          <t>Wall-mounted split indoor unit</t>
        </is>
      </c>
      <c r="C21" s="6" t="inlineStr">
        <is>
          <t>WS-09: 2.6 kW nominal cooling, 140 L/s, ESP 0 Pa, heat 2.9 kW, R410A</t>
        </is>
      </c>
      <c r="D21" s="6" t="inlineStr">
        <is>
          <t>No.</t>
        </is>
      </c>
      <c r="E21" s="6" t="n">
        <v>1</v>
      </c>
      <c r="F21" s="7" t="n">
        <v>0</v>
      </c>
      <c r="G21" s="6">
        <f>ROUNDUP(E21*(1+F21/100),0)</f>
        <v/>
      </c>
      <c r="H21" s="6" t="inlineStr">
        <is>
          <t>Z-GF-08</t>
        </is>
      </c>
      <c r="I21" s="6" t="inlineStr">
        <is>
          <t>Tags: IU-GF-08</t>
        </is>
      </c>
    </row>
    <row r="22">
      <c r="A22" s="6" t="inlineStr">
        <is>
          <t>A.16</t>
        </is>
      </c>
      <c r="B22" s="6" t="inlineStr">
        <is>
          <t>Through-wall fresh air fan with G4 filter and weather hood</t>
        </is>
      </c>
      <c r="C22" s="6" t="inlineStr">
        <is>
          <t>FAF-15: 9 L/s, 12 W</t>
        </is>
      </c>
      <c r="D22" s="6" t="inlineStr">
        <is>
          <t>No.</t>
        </is>
      </c>
      <c r="E22" s="6" t="n">
        <v>1</v>
      </c>
      <c r="F22" s="7" t="n">
        <v>0</v>
      </c>
      <c r="G22" s="6">
        <f>ROUNDUP(E22*(1+F22/100),0)</f>
        <v/>
      </c>
      <c r="H22" s="6" t="inlineStr">
        <is>
          <t>Z-GF-08</t>
        </is>
      </c>
      <c r="I22" s="6" t="inlineStr">
        <is>
          <t>Tags: FAF-GF-08</t>
        </is>
      </c>
    </row>
    <row r="23">
      <c r="A23" s="6" t="inlineStr">
        <is>
          <t>A.17</t>
        </is>
      </c>
      <c r="B23" s="6" t="inlineStr">
        <is>
          <t>Ducted split indoor unit (concealed)</t>
        </is>
      </c>
      <c r="C23" s="6" t="inlineStr">
        <is>
          <t>DS-18: 5.3 kW nominal cooling, 300 L/s, ESP 75 Pa, heat 5.8 kW, R410A</t>
        </is>
      </c>
      <c r="D23" s="6" t="inlineStr">
        <is>
          <t>No.</t>
        </is>
      </c>
      <c r="E23" s="6" t="n">
        <v>1</v>
      </c>
      <c r="F23" s="7" t="n">
        <v>0</v>
      </c>
      <c r="G23" s="6">
        <f>ROUNDUP(E23*(1+F23/100),0)</f>
        <v/>
      </c>
      <c r="H23" s="6" t="inlineStr">
        <is>
          <t>Z-GF-09</t>
        </is>
      </c>
      <c r="I23" s="6" t="inlineStr">
        <is>
          <t>Tags: IU-GF-09</t>
        </is>
      </c>
    </row>
    <row r="24">
      <c r="A24" s="6" t="inlineStr">
        <is>
          <t>A.18</t>
        </is>
      </c>
      <c r="B24" s="6" t="inlineStr">
        <is>
          <t>Ducted split indoor unit (concealed)</t>
        </is>
      </c>
      <c r="C24" s="6" t="inlineStr">
        <is>
          <t>DS-18: 5.3 kW nominal cooling, 300 L/s, ESP 75 Pa, heat 5.8 kW, R410A</t>
        </is>
      </c>
      <c r="D24" s="6" t="inlineStr">
        <is>
          <t>No.</t>
        </is>
      </c>
      <c r="E24" s="6" t="n">
        <v>1</v>
      </c>
      <c r="F24" s="7" t="n">
        <v>0</v>
      </c>
      <c r="G24" s="6">
        <f>ROUNDUP(E24*(1+F24/100),0)</f>
        <v/>
      </c>
      <c r="H24" s="6" t="inlineStr">
        <is>
          <t>Z-GF-10</t>
        </is>
      </c>
      <c r="I24" s="6" t="inlineStr">
        <is>
          <t>Tags: IU-GF-10</t>
        </is>
      </c>
    </row>
    <row r="25">
      <c r="A25" s="6" t="inlineStr">
        <is>
          <t>A.19</t>
        </is>
      </c>
      <c r="B25" s="6" t="inlineStr">
        <is>
          <t>Ducted split indoor unit (concealed)</t>
        </is>
      </c>
      <c r="C25" s="6" t="inlineStr">
        <is>
          <t>DS-18: 5.3 kW nominal cooling, 300 L/s, ESP 75 Pa, heat 5.8 kW, R410A</t>
        </is>
      </c>
      <c r="D25" s="6" t="inlineStr">
        <is>
          <t>No.</t>
        </is>
      </c>
      <c r="E25" s="6" t="n">
        <v>1</v>
      </c>
      <c r="F25" s="7" t="n">
        <v>0</v>
      </c>
      <c r="G25" s="6">
        <f>ROUNDUP(E25*(1+F25/100),0)</f>
        <v/>
      </c>
      <c r="H25" s="6" t="inlineStr">
        <is>
          <t>Z-GF-11</t>
        </is>
      </c>
      <c r="I25" s="6" t="inlineStr">
        <is>
          <t>Tags: IU-GF-11</t>
        </is>
      </c>
    </row>
    <row r="26">
      <c r="A26" s="6" t="inlineStr">
        <is>
          <t>A.20</t>
        </is>
      </c>
      <c r="B26" s="6" t="inlineStr">
        <is>
          <t>Ducted split indoor unit (concealed)</t>
        </is>
      </c>
      <c r="C26" s="6" t="inlineStr">
        <is>
          <t>DS-18: 5.3 kW nominal cooling, 300 L/s, ESP 75 Pa, heat 5.8 kW, R410A</t>
        </is>
      </c>
      <c r="D26" s="6" t="inlineStr">
        <is>
          <t>No.</t>
        </is>
      </c>
      <c r="E26" s="6" t="n">
        <v>1</v>
      </c>
      <c r="F26" s="7" t="n">
        <v>0</v>
      </c>
      <c r="G26" s="6">
        <f>ROUNDUP(E26*(1+F26/100),0)</f>
        <v/>
      </c>
      <c r="H26" s="6" t="inlineStr">
        <is>
          <t>Z-GF-12</t>
        </is>
      </c>
      <c r="I26" s="6" t="inlineStr">
        <is>
          <t>Tags: IU-GF-12</t>
        </is>
      </c>
    </row>
    <row r="27">
      <c r="A27" s="6" t="inlineStr">
        <is>
          <t>A.21</t>
        </is>
      </c>
      <c r="B27" s="6" t="inlineStr">
        <is>
          <t>Wall-mounted split indoor unit</t>
        </is>
      </c>
      <c r="C27" s="6" t="inlineStr">
        <is>
          <t>WS-09: 2.6 kW nominal cooling, 140 L/s, ESP 0 Pa, heat 2.9 kW, R410A</t>
        </is>
      </c>
      <c r="D27" s="6" t="inlineStr">
        <is>
          <t>No.</t>
        </is>
      </c>
      <c r="E27" s="6" t="n">
        <v>1</v>
      </c>
      <c r="F27" s="7" t="n">
        <v>0</v>
      </c>
      <c r="G27" s="6">
        <f>ROUNDUP(E27*(1+F27/100),0)</f>
        <v/>
      </c>
      <c r="H27" s="6" t="inlineStr">
        <is>
          <t>Z-FF-01</t>
        </is>
      </c>
      <c r="I27" s="6" t="inlineStr">
        <is>
          <t>Tags: IU-FF-01</t>
        </is>
      </c>
    </row>
    <row r="28">
      <c r="A28" s="6" t="inlineStr">
        <is>
          <t>A.22</t>
        </is>
      </c>
      <c r="B28" s="6" t="inlineStr">
        <is>
          <t>Through-wall fresh air fan with G4 filter and weather hood</t>
        </is>
      </c>
      <c r="C28" s="6" t="inlineStr">
        <is>
          <t>FAF-15: 9 L/s, 12 W</t>
        </is>
      </c>
      <c r="D28" s="6" t="inlineStr">
        <is>
          <t>No.</t>
        </is>
      </c>
      <c r="E28" s="6" t="n">
        <v>1</v>
      </c>
      <c r="F28" s="7" t="n">
        <v>0</v>
      </c>
      <c r="G28" s="6">
        <f>ROUNDUP(E28*(1+F28/100),0)</f>
        <v/>
      </c>
      <c r="H28" s="6" t="inlineStr">
        <is>
          <t>Z-FF-01</t>
        </is>
      </c>
      <c r="I28" s="6" t="inlineStr">
        <is>
          <t>Tags: FAF-FF-01</t>
        </is>
      </c>
    </row>
    <row r="29">
      <c r="A29" s="6" t="inlineStr">
        <is>
          <t>A.23</t>
        </is>
      </c>
      <c r="B29" s="6" t="inlineStr">
        <is>
          <t>Wall-mounted split indoor unit</t>
        </is>
      </c>
      <c r="C29" s="6" t="inlineStr">
        <is>
          <t>WS-09: 2.6 kW nominal cooling, 140 L/s, ESP 0 Pa, heat 2.9 kW, R410A</t>
        </is>
      </c>
      <c r="D29" s="6" t="inlineStr">
        <is>
          <t>No.</t>
        </is>
      </c>
      <c r="E29" s="6" t="n">
        <v>1</v>
      </c>
      <c r="F29" s="7" t="n">
        <v>0</v>
      </c>
      <c r="G29" s="6">
        <f>ROUNDUP(E29*(1+F29/100),0)</f>
        <v/>
      </c>
      <c r="H29" s="6" t="inlineStr">
        <is>
          <t>Z-FF-02</t>
        </is>
      </c>
      <c r="I29" s="6" t="inlineStr">
        <is>
          <t>Tags: IU-FF-02</t>
        </is>
      </c>
    </row>
    <row r="30">
      <c r="A30" s="6" t="inlineStr">
        <is>
          <t>A.24</t>
        </is>
      </c>
      <c r="B30" s="6" t="inlineStr">
        <is>
          <t>Through-wall fresh air fan with G4 filter and weather hood</t>
        </is>
      </c>
      <c r="C30" s="6" t="inlineStr">
        <is>
          <t>FAF-15: 9 L/s, 12 W</t>
        </is>
      </c>
      <c r="D30" s="6" t="inlineStr">
        <is>
          <t>No.</t>
        </is>
      </c>
      <c r="E30" s="6" t="n">
        <v>1</v>
      </c>
      <c r="F30" s="7" t="n">
        <v>0</v>
      </c>
      <c r="G30" s="6">
        <f>ROUNDUP(E30*(1+F30/100),0)</f>
        <v/>
      </c>
      <c r="H30" s="6" t="inlineStr">
        <is>
          <t>Z-FF-02</t>
        </is>
      </c>
      <c r="I30" s="6" t="inlineStr">
        <is>
          <t>Tags: FAF-FF-02</t>
        </is>
      </c>
    </row>
    <row r="31">
      <c r="A31" s="6" t="inlineStr">
        <is>
          <t>A.25</t>
        </is>
      </c>
      <c r="B31" s="6" t="inlineStr">
        <is>
          <t>Wall-mounted split indoor unit</t>
        </is>
      </c>
      <c r="C31" s="6" t="inlineStr">
        <is>
          <t>WS-09: 2.6 kW nominal cooling, 140 L/s, ESP 0 Pa, heat 2.9 kW, R410A</t>
        </is>
      </c>
      <c r="D31" s="6" t="inlineStr">
        <is>
          <t>No.</t>
        </is>
      </c>
      <c r="E31" s="6" t="n">
        <v>1</v>
      </c>
      <c r="F31" s="7" t="n">
        <v>0</v>
      </c>
      <c r="G31" s="6">
        <f>ROUNDUP(E31*(1+F31/100),0)</f>
        <v/>
      </c>
      <c r="H31" s="6" t="inlineStr">
        <is>
          <t>Z-FF-03</t>
        </is>
      </c>
      <c r="I31" s="6" t="inlineStr">
        <is>
          <t>Tags: IU-FF-03</t>
        </is>
      </c>
    </row>
    <row r="32">
      <c r="A32" s="6" t="inlineStr">
        <is>
          <t>A.26</t>
        </is>
      </c>
      <c r="B32" s="6" t="inlineStr">
        <is>
          <t>Through-wall fresh air fan with G4 filter and weather hood</t>
        </is>
      </c>
      <c r="C32" s="6" t="inlineStr">
        <is>
          <t>FAF-15: 9 L/s, 12 W</t>
        </is>
      </c>
      <c r="D32" s="6" t="inlineStr">
        <is>
          <t>No.</t>
        </is>
      </c>
      <c r="E32" s="6" t="n">
        <v>1</v>
      </c>
      <c r="F32" s="7" t="n">
        <v>0</v>
      </c>
      <c r="G32" s="6">
        <f>ROUNDUP(E32*(1+F32/100),0)</f>
        <v/>
      </c>
      <c r="H32" s="6" t="inlineStr">
        <is>
          <t>Z-FF-03</t>
        </is>
      </c>
      <c r="I32" s="6" t="inlineStr">
        <is>
          <t>Tags: FAF-FF-03</t>
        </is>
      </c>
    </row>
    <row r="33">
      <c r="A33" s="6" t="inlineStr">
        <is>
          <t>A.27</t>
        </is>
      </c>
      <c r="B33" s="6" t="inlineStr">
        <is>
          <t>Wall-mounted split indoor unit</t>
        </is>
      </c>
      <c r="C33" s="6" t="inlineStr">
        <is>
          <t>WS-09: 2.6 kW nominal cooling, 140 L/s, ESP 0 Pa, heat 2.9 kW, R410A</t>
        </is>
      </c>
      <c r="D33" s="6" t="inlineStr">
        <is>
          <t>No.</t>
        </is>
      </c>
      <c r="E33" s="6" t="n">
        <v>1</v>
      </c>
      <c r="F33" s="7" t="n">
        <v>0</v>
      </c>
      <c r="G33" s="6">
        <f>ROUNDUP(E33*(1+F33/100),0)</f>
        <v/>
      </c>
      <c r="H33" s="6" t="inlineStr">
        <is>
          <t>Z-FF-04</t>
        </is>
      </c>
      <c r="I33" s="6" t="inlineStr">
        <is>
          <t>Tags: IU-FF-04</t>
        </is>
      </c>
    </row>
    <row r="34">
      <c r="A34" s="6" t="inlineStr">
        <is>
          <t>A.28</t>
        </is>
      </c>
      <c r="B34" s="6" t="inlineStr">
        <is>
          <t>Through-wall fresh air fan with G4 filter and weather hood</t>
        </is>
      </c>
      <c r="C34" s="6" t="inlineStr">
        <is>
          <t>FAF-15: 9 L/s, 12 W</t>
        </is>
      </c>
      <c r="D34" s="6" t="inlineStr">
        <is>
          <t>No.</t>
        </is>
      </c>
      <c r="E34" s="6" t="n">
        <v>1</v>
      </c>
      <c r="F34" s="7" t="n">
        <v>0</v>
      </c>
      <c r="G34" s="6">
        <f>ROUNDUP(E34*(1+F34/100),0)</f>
        <v/>
      </c>
      <c r="H34" s="6" t="inlineStr">
        <is>
          <t>Z-FF-04</t>
        </is>
      </c>
      <c r="I34" s="6" t="inlineStr">
        <is>
          <t>Tags: FAF-FF-04</t>
        </is>
      </c>
    </row>
    <row r="35">
      <c r="A35" s="6" t="inlineStr">
        <is>
          <t>A.29</t>
        </is>
      </c>
      <c r="B35" s="6" t="inlineStr">
        <is>
          <t>Wall-mounted split indoor unit</t>
        </is>
      </c>
      <c r="C35" s="6" t="inlineStr">
        <is>
          <t>WS-09: 2.6 kW nominal cooling, 140 L/s, ESP 0 Pa, heat 2.9 kW, R410A</t>
        </is>
      </c>
      <c r="D35" s="6" t="inlineStr">
        <is>
          <t>No.</t>
        </is>
      </c>
      <c r="E35" s="6" t="n">
        <v>1</v>
      </c>
      <c r="F35" s="7" t="n">
        <v>0</v>
      </c>
      <c r="G35" s="6">
        <f>ROUNDUP(E35*(1+F35/100),0)</f>
        <v/>
      </c>
      <c r="H35" s="6" t="inlineStr">
        <is>
          <t>Z-FF-05</t>
        </is>
      </c>
      <c r="I35" s="6" t="inlineStr">
        <is>
          <t>Tags: IU-FF-05</t>
        </is>
      </c>
    </row>
    <row r="36">
      <c r="A36" s="6" t="inlineStr">
        <is>
          <t>A.30</t>
        </is>
      </c>
      <c r="B36" s="6" t="inlineStr">
        <is>
          <t>Through-wall fresh air fan with G4 filter and weather hood</t>
        </is>
      </c>
      <c r="C36" s="6" t="inlineStr">
        <is>
          <t>FAF-15: 9 L/s, 12 W</t>
        </is>
      </c>
      <c r="D36" s="6" t="inlineStr">
        <is>
          <t>No.</t>
        </is>
      </c>
      <c r="E36" s="6" t="n">
        <v>1</v>
      </c>
      <c r="F36" s="7" t="n">
        <v>0</v>
      </c>
      <c r="G36" s="6">
        <f>ROUNDUP(E36*(1+F36/100),0)</f>
        <v/>
      </c>
      <c r="H36" s="6" t="inlineStr">
        <is>
          <t>Z-FF-05</t>
        </is>
      </c>
      <c r="I36" s="6" t="inlineStr">
        <is>
          <t>Tags: FAF-FF-05</t>
        </is>
      </c>
    </row>
    <row r="37">
      <c r="A37" s="6" t="inlineStr">
        <is>
          <t>A.31</t>
        </is>
      </c>
      <c r="B37" s="6" t="inlineStr">
        <is>
          <t>Wall-mounted split indoor unit</t>
        </is>
      </c>
      <c r="C37" s="6" t="inlineStr">
        <is>
          <t>WS-09: 2.6 kW nominal cooling, 140 L/s, ESP 0 Pa, heat 2.9 kW, R410A</t>
        </is>
      </c>
      <c r="D37" s="6" t="inlineStr">
        <is>
          <t>No.</t>
        </is>
      </c>
      <c r="E37" s="6" t="n">
        <v>1</v>
      </c>
      <c r="F37" s="7" t="n">
        <v>0</v>
      </c>
      <c r="G37" s="6">
        <f>ROUNDUP(E37*(1+F37/100),0)</f>
        <v/>
      </c>
      <c r="H37" s="6" t="inlineStr">
        <is>
          <t>Z-FF-06</t>
        </is>
      </c>
      <c r="I37" s="6" t="inlineStr">
        <is>
          <t>Tags: IU-FF-06</t>
        </is>
      </c>
    </row>
    <row r="38">
      <c r="A38" s="6" t="inlineStr">
        <is>
          <t>A.32</t>
        </is>
      </c>
      <c r="B38" s="6" t="inlineStr">
        <is>
          <t>Through-wall fresh air fan with G4 filter and weather hood</t>
        </is>
      </c>
      <c r="C38" s="6" t="inlineStr">
        <is>
          <t>FAF-15: 9 L/s, 12 W</t>
        </is>
      </c>
      <c r="D38" s="6" t="inlineStr">
        <is>
          <t>No.</t>
        </is>
      </c>
      <c r="E38" s="6" t="n">
        <v>1</v>
      </c>
      <c r="F38" s="7" t="n">
        <v>0</v>
      </c>
      <c r="G38" s="6">
        <f>ROUNDUP(E38*(1+F38/100),0)</f>
        <v/>
      </c>
      <c r="H38" s="6" t="inlineStr">
        <is>
          <t>Z-FF-06</t>
        </is>
      </c>
      <c r="I38" s="6" t="inlineStr">
        <is>
          <t>Tags: FAF-FF-06</t>
        </is>
      </c>
    </row>
    <row r="39">
      <c r="A39" s="6" t="inlineStr">
        <is>
          <t>A.33</t>
        </is>
      </c>
      <c r="B39" s="6" t="inlineStr">
        <is>
          <t>Wall-mounted split indoor unit</t>
        </is>
      </c>
      <c r="C39" s="6" t="inlineStr">
        <is>
          <t>WS-09: 2.6 kW nominal cooling, 140 L/s, ESP 0 Pa, heat 2.9 kW, R410A</t>
        </is>
      </c>
      <c r="D39" s="6" t="inlineStr">
        <is>
          <t>No.</t>
        </is>
      </c>
      <c r="E39" s="6" t="n">
        <v>1</v>
      </c>
      <c r="F39" s="7" t="n">
        <v>0</v>
      </c>
      <c r="G39" s="6">
        <f>ROUNDUP(E39*(1+F39/100),0)</f>
        <v/>
      </c>
      <c r="H39" s="6" t="inlineStr">
        <is>
          <t>Z-FF-07</t>
        </is>
      </c>
      <c r="I39" s="6" t="inlineStr">
        <is>
          <t>Tags: IU-FF-07</t>
        </is>
      </c>
    </row>
    <row r="40">
      <c r="A40" s="6" t="inlineStr">
        <is>
          <t>A.34</t>
        </is>
      </c>
      <c r="B40" s="6" t="inlineStr">
        <is>
          <t>Through-wall fresh air fan with G4 filter and weather hood</t>
        </is>
      </c>
      <c r="C40" s="6" t="inlineStr">
        <is>
          <t>FAF-15: 9 L/s, 12 W</t>
        </is>
      </c>
      <c r="D40" s="6" t="inlineStr">
        <is>
          <t>No.</t>
        </is>
      </c>
      <c r="E40" s="6" t="n">
        <v>1</v>
      </c>
      <c r="F40" s="7" t="n">
        <v>0</v>
      </c>
      <c r="G40" s="6">
        <f>ROUNDUP(E40*(1+F40/100),0)</f>
        <v/>
      </c>
      <c r="H40" s="6" t="inlineStr">
        <is>
          <t>Z-FF-07</t>
        </is>
      </c>
      <c r="I40" s="6" t="inlineStr">
        <is>
          <t>Tags: FAF-FF-07</t>
        </is>
      </c>
    </row>
    <row r="41">
      <c r="A41" s="6" t="inlineStr">
        <is>
          <t>A.35</t>
        </is>
      </c>
      <c r="B41" s="6" t="inlineStr">
        <is>
          <t>Wall-mounted split indoor unit</t>
        </is>
      </c>
      <c r="C41" s="6" t="inlineStr">
        <is>
          <t>WS-09: 2.6 kW nominal cooling, 140 L/s, ESP 0 Pa, heat 2.9 kW, R410A</t>
        </is>
      </c>
      <c r="D41" s="6" t="inlineStr">
        <is>
          <t>No.</t>
        </is>
      </c>
      <c r="E41" s="6" t="n">
        <v>1</v>
      </c>
      <c r="F41" s="7" t="n">
        <v>0</v>
      </c>
      <c r="G41" s="6">
        <f>ROUNDUP(E41*(1+F41/100),0)</f>
        <v/>
      </c>
      <c r="H41" s="6" t="inlineStr">
        <is>
          <t>Z-FF-08</t>
        </is>
      </c>
      <c r="I41" s="6" t="inlineStr">
        <is>
          <t>Tags: IU-FF-08</t>
        </is>
      </c>
    </row>
    <row r="42">
      <c r="A42" s="6" t="inlineStr">
        <is>
          <t>A.36</t>
        </is>
      </c>
      <c r="B42" s="6" t="inlineStr">
        <is>
          <t>Through-wall fresh air fan with G4 filter and weather hood</t>
        </is>
      </c>
      <c r="C42" s="6" t="inlineStr">
        <is>
          <t>FAF-15: 9 L/s, 12 W</t>
        </is>
      </c>
      <c r="D42" s="6" t="inlineStr">
        <is>
          <t>No.</t>
        </is>
      </c>
      <c r="E42" s="6" t="n">
        <v>1</v>
      </c>
      <c r="F42" s="7" t="n">
        <v>0</v>
      </c>
      <c r="G42" s="6">
        <f>ROUNDUP(E42*(1+F42/100),0)</f>
        <v/>
      </c>
      <c r="H42" s="6" t="inlineStr">
        <is>
          <t>Z-FF-08</t>
        </is>
      </c>
      <c r="I42" s="6" t="inlineStr">
        <is>
          <t>Tags: FAF-FF-08</t>
        </is>
      </c>
    </row>
    <row r="43">
      <c r="A43" s="6" t="inlineStr">
        <is>
          <t>A.37</t>
        </is>
      </c>
      <c r="B43" s="6" t="inlineStr">
        <is>
          <t>Ducted split indoor unit (concealed)</t>
        </is>
      </c>
      <c r="C43" s="6" t="inlineStr">
        <is>
          <t>DS-18: 5.3 kW nominal cooling, 300 L/s, ESP 75 Pa, heat 5.8 kW, R410A</t>
        </is>
      </c>
      <c r="D43" s="6" t="inlineStr">
        <is>
          <t>No.</t>
        </is>
      </c>
      <c r="E43" s="6" t="n">
        <v>1</v>
      </c>
      <c r="F43" s="7" t="n">
        <v>0</v>
      </c>
      <c r="G43" s="6">
        <f>ROUNDUP(E43*(1+F43/100),0)</f>
        <v/>
      </c>
      <c r="H43" s="6" t="inlineStr">
        <is>
          <t>Z-FF-09</t>
        </is>
      </c>
      <c r="I43" s="6" t="inlineStr">
        <is>
          <t>Tags: IU-FF-09</t>
        </is>
      </c>
    </row>
    <row r="44">
      <c r="A44" s="6" t="inlineStr">
        <is>
          <t>A.38</t>
        </is>
      </c>
      <c r="B44" s="6" t="inlineStr">
        <is>
          <t>Ducted split indoor unit (concealed)</t>
        </is>
      </c>
      <c r="C44" s="6" t="inlineStr">
        <is>
          <t>DS-18: 5.3 kW nominal cooling, 300 L/s, ESP 75 Pa, heat 5.8 kW, R410A</t>
        </is>
      </c>
      <c r="D44" s="6" t="inlineStr">
        <is>
          <t>No.</t>
        </is>
      </c>
      <c r="E44" s="6" t="n">
        <v>1</v>
      </c>
      <c r="F44" s="7" t="n">
        <v>0</v>
      </c>
      <c r="G44" s="6">
        <f>ROUNDUP(E44*(1+F44/100),0)</f>
        <v/>
      </c>
      <c r="H44" s="6" t="inlineStr">
        <is>
          <t>Z-FF-10</t>
        </is>
      </c>
      <c r="I44" s="6" t="inlineStr">
        <is>
          <t>Tags: IU-FF-10</t>
        </is>
      </c>
    </row>
    <row r="45">
      <c r="A45" s="6" t="inlineStr">
        <is>
          <t>A.39</t>
        </is>
      </c>
      <c r="B45" s="6" t="inlineStr">
        <is>
          <t>Ducted split indoor unit (concealed)</t>
        </is>
      </c>
      <c r="C45" s="6" t="inlineStr">
        <is>
          <t>DS-18: 5.3 kW nominal cooling, 300 L/s, ESP 75 Pa, heat 5.8 kW, R410A</t>
        </is>
      </c>
      <c r="D45" s="6" t="inlineStr">
        <is>
          <t>No.</t>
        </is>
      </c>
      <c r="E45" s="6" t="n">
        <v>1</v>
      </c>
      <c r="F45" s="7" t="n">
        <v>0</v>
      </c>
      <c r="G45" s="6">
        <f>ROUNDUP(E45*(1+F45/100),0)</f>
        <v/>
      </c>
      <c r="H45" s="6" t="inlineStr">
        <is>
          <t>Z-FF-11</t>
        </is>
      </c>
      <c r="I45" s="6" t="inlineStr">
        <is>
          <t>Tags: IU-FF-11</t>
        </is>
      </c>
    </row>
    <row r="46">
      <c r="A46" s="6" t="inlineStr">
        <is>
          <t>A.40</t>
        </is>
      </c>
      <c r="B46" s="6" t="inlineStr">
        <is>
          <t>Ducted split indoor unit (concealed)</t>
        </is>
      </c>
      <c r="C46" s="6" t="inlineStr">
        <is>
          <t>DS-18: 5.3 kW nominal cooling, 300 L/s, ESP 75 Pa, heat 5.8 kW, R410A</t>
        </is>
      </c>
      <c r="D46" s="6" t="inlineStr">
        <is>
          <t>No.</t>
        </is>
      </c>
      <c r="E46" s="6" t="n">
        <v>1</v>
      </c>
      <c r="F46" s="7" t="n">
        <v>0</v>
      </c>
      <c r="G46" s="6">
        <f>ROUNDUP(E46*(1+F46/100),0)</f>
        <v/>
      </c>
      <c r="H46" s="6" t="inlineStr">
        <is>
          <t>Z-FF-12</t>
        </is>
      </c>
      <c r="I46" s="6" t="inlineStr">
        <is>
          <t>Tags: IU-FF-12</t>
        </is>
      </c>
    </row>
    <row r="47">
      <c r="A47" s="6" t="inlineStr">
        <is>
          <t>A.41</t>
        </is>
      </c>
      <c r="B47" s="6" t="inlineStr">
        <is>
          <t>Wall-mounted split indoor unit</t>
        </is>
      </c>
      <c r="C47" s="6" t="inlineStr">
        <is>
          <t>WS-09: 2.6 kW nominal cooling, 140 L/s, ESP 0 Pa, heat 2.9 kW, R410A</t>
        </is>
      </c>
      <c r="D47" s="6" t="inlineStr">
        <is>
          <t>No.</t>
        </is>
      </c>
      <c r="E47" s="6" t="n">
        <v>1</v>
      </c>
      <c r="F47" s="7" t="n">
        <v>0</v>
      </c>
      <c r="G47" s="6">
        <f>ROUNDUP(E47*(1+F47/100),0)</f>
        <v/>
      </c>
      <c r="H47" s="6" t="inlineStr">
        <is>
          <t>Z-SF-01</t>
        </is>
      </c>
      <c r="I47" s="6" t="inlineStr">
        <is>
          <t>Tags: IU-SF-01</t>
        </is>
      </c>
    </row>
    <row r="48">
      <c r="A48" s="6" t="inlineStr">
        <is>
          <t>A.42</t>
        </is>
      </c>
      <c r="B48" s="6" t="inlineStr">
        <is>
          <t>Through-wall fresh air fan with G4 filter and weather hood</t>
        </is>
      </c>
      <c r="C48" s="6" t="inlineStr">
        <is>
          <t>FAF-15: 10 L/s, 12 W</t>
        </is>
      </c>
      <c r="D48" s="6" t="inlineStr">
        <is>
          <t>No.</t>
        </is>
      </c>
      <c r="E48" s="6" t="n">
        <v>1</v>
      </c>
      <c r="F48" s="7" t="n">
        <v>0</v>
      </c>
      <c r="G48" s="6">
        <f>ROUNDUP(E48*(1+F48/100),0)</f>
        <v/>
      </c>
      <c r="H48" s="6" t="inlineStr">
        <is>
          <t>Z-SF-01</t>
        </is>
      </c>
      <c r="I48" s="6" t="inlineStr">
        <is>
          <t>Tags: FAF-SF-01</t>
        </is>
      </c>
    </row>
    <row r="49">
      <c r="A49" s="6" t="inlineStr">
        <is>
          <t>A.43</t>
        </is>
      </c>
      <c r="B49" s="6" t="inlineStr">
        <is>
          <t>Wall-mounted split indoor unit</t>
        </is>
      </c>
      <c r="C49" s="6" t="inlineStr">
        <is>
          <t>WS-09: 2.6 kW nominal cooling, 140 L/s, ESP 0 Pa, heat 2.9 kW, R410A</t>
        </is>
      </c>
      <c r="D49" s="6" t="inlineStr">
        <is>
          <t>No.</t>
        </is>
      </c>
      <c r="E49" s="6" t="n">
        <v>1</v>
      </c>
      <c r="F49" s="7" t="n">
        <v>0</v>
      </c>
      <c r="G49" s="6">
        <f>ROUNDUP(E49*(1+F49/100),0)</f>
        <v/>
      </c>
      <c r="H49" s="6" t="inlineStr">
        <is>
          <t>Z-SF-02</t>
        </is>
      </c>
      <c r="I49" s="6" t="inlineStr">
        <is>
          <t>Tags: IU-SF-02</t>
        </is>
      </c>
    </row>
    <row r="50">
      <c r="A50" s="6" t="inlineStr">
        <is>
          <t>A.44</t>
        </is>
      </c>
      <c r="B50" s="6" t="inlineStr">
        <is>
          <t>Through-wall fresh air fan with G4 filter and weather hood</t>
        </is>
      </c>
      <c r="C50" s="6" t="inlineStr">
        <is>
          <t>FAF-15: 10 L/s, 12 W</t>
        </is>
      </c>
      <c r="D50" s="6" t="inlineStr">
        <is>
          <t>No.</t>
        </is>
      </c>
      <c r="E50" s="6" t="n">
        <v>1</v>
      </c>
      <c r="F50" s="7" t="n">
        <v>0</v>
      </c>
      <c r="G50" s="6">
        <f>ROUNDUP(E50*(1+F50/100),0)</f>
        <v/>
      </c>
      <c r="H50" s="6" t="inlineStr">
        <is>
          <t>Z-SF-02</t>
        </is>
      </c>
      <c r="I50" s="6" t="inlineStr">
        <is>
          <t>Tags: FAF-SF-02</t>
        </is>
      </c>
    </row>
    <row r="51">
      <c r="A51" s="6" t="inlineStr">
        <is>
          <t>A.45</t>
        </is>
      </c>
      <c r="B51" s="6" t="inlineStr">
        <is>
          <t>Wall-mounted split indoor unit</t>
        </is>
      </c>
      <c r="C51" s="6" t="inlineStr">
        <is>
          <t>WS-09: 2.6 kW nominal cooling, 140 L/s, ESP 0 Pa, heat 2.9 kW, R410A</t>
        </is>
      </c>
      <c r="D51" s="6" t="inlineStr">
        <is>
          <t>No.</t>
        </is>
      </c>
      <c r="E51" s="6" t="n">
        <v>1</v>
      </c>
      <c r="F51" s="7" t="n">
        <v>0</v>
      </c>
      <c r="G51" s="6">
        <f>ROUNDUP(E51*(1+F51/100),0)</f>
        <v/>
      </c>
      <c r="H51" s="6" t="inlineStr">
        <is>
          <t>Z-SF-03</t>
        </is>
      </c>
      <c r="I51" s="6" t="inlineStr">
        <is>
          <t>Tags: IU-SF-03</t>
        </is>
      </c>
    </row>
    <row r="52">
      <c r="A52" s="6" t="inlineStr">
        <is>
          <t>A.46</t>
        </is>
      </c>
      <c r="B52" s="6" t="inlineStr">
        <is>
          <t>Through-wall fresh air fan with G4 filter and weather hood</t>
        </is>
      </c>
      <c r="C52" s="6" t="inlineStr">
        <is>
          <t>FAF-15: 8 L/s, 12 W</t>
        </is>
      </c>
      <c r="D52" s="6" t="inlineStr">
        <is>
          <t>No.</t>
        </is>
      </c>
      <c r="E52" s="6" t="n">
        <v>1</v>
      </c>
      <c r="F52" s="7" t="n">
        <v>0</v>
      </c>
      <c r="G52" s="6">
        <f>ROUNDUP(E52*(1+F52/100),0)</f>
        <v/>
      </c>
      <c r="H52" s="6" t="inlineStr">
        <is>
          <t>Z-SF-03</t>
        </is>
      </c>
      <c r="I52" s="6" t="inlineStr">
        <is>
          <t>Tags: FAF-SF-03</t>
        </is>
      </c>
    </row>
    <row r="53">
      <c r="A53" s="6" t="inlineStr">
        <is>
          <t>A.47</t>
        </is>
      </c>
      <c r="B53" s="6" t="inlineStr">
        <is>
          <t>Wall-mounted split indoor unit</t>
        </is>
      </c>
      <c r="C53" s="6" t="inlineStr">
        <is>
          <t>WS-09: 2.6 kW nominal cooling, 140 L/s, ESP 0 Pa, heat 2.9 kW, R410A</t>
        </is>
      </c>
      <c r="D53" s="6" t="inlineStr">
        <is>
          <t>No.</t>
        </is>
      </c>
      <c r="E53" s="6" t="n">
        <v>1</v>
      </c>
      <c r="F53" s="7" t="n">
        <v>0</v>
      </c>
      <c r="G53" s="6">
        <f>ROUNDUP(E53*(1+F53/100),0)</f>
        <v/>
      </c>
      <c r="H53" s="6" t="inlineStr">
        <is>
          <t>Z-SF-04</t>
        </is>
      </c>
      <c r="I53" s="6" t="inlineStr">
        <is>
          <t>Tags: IU-SF-04</t>
        </is>
      </c>
    </row>
    <row r="54">
      <c r="A54" s="6" t="inlineStr">
        <is>
          <t>A.48</t>
        </is>
      </c>
      <c r="B54" s="6" t="inlineStr">
        <is>
          <t>Through-wall fresh air fan with G4 filter and weather hood</t>
        </is>
      </c>
      <c r="C54" s="6" t="inlineStr">
        <is>
          <t>FAF-15: 10 L/s, 12 W</t>
        </is>
      </c>
      <c r="D54" s="6" t="inlineStr">
        <is>
          <t>No.</t>
        </is>
      </c>
      <c r="E54" s="6" t="n">
        <v>1</v>
      </c>
      <c r="F54" s="7" t="n">
        <v>0</v>
      </c>
      <c r="G54" s="6">
        <f>ROUNDUP(E54*(1+F54/100),0)</f>
        <v/>
      </c>
      <c r="H54" s="6" t="inlineStr">
        <is>
          <t>Z-SF-04</t>
        </is>
      </c>
      <c r="I54" s="6" t="inlineStr">
        <is>
          <t>Tags: FAF-SF-04</t>
        </is>
      </c>
    </row>
    <row r="55">
      <c r="A55" s="6" t="inlineStr">
        <is>
          <t>A.49</t>
        </is>
      </c>
      <c r="B55" s="6" t="inlineStr">
        <is>
          <t>Wall-mounted split indoor unit</t>
        </is>
      </c>
      <c r="C55" s="6" t="inlineStr">
        <is>
          <t>WS-09: 2.6 kW nominal cooling, 140 L/s, ESP 0 Pa, heat 2.9 kW, R410A</t>
        </is>
      </c>
      <c r="D55" s="6" t="inlineStr">
        <is>
          <t>No.</t>
        </is>
      </c>
      <c r="E55" s="6" t="n">
        <v>1</v>
      </c>
      <c r="F55" s="7" t="n">
        <v>0</v>
      </c>
      <c r="G55" s="6">
        <f>ROUNDUP(E55*(1+F55/100),0)</f>
        <v/>
      </c>
      <c r="H55" s="6" t="inlineStr">
        <is>
          <t>Z-SF-05</t>
        </is>
      </c>
      <c r="I55" s="6" t="inlineStr">
        <is>
          <t>Tags: IU-SF-05</t>
        </is>
      </c>
    </row>
    <row r="56">
      <c r="A56" s="6" t="inlineStr">
        <is>
          <t>A.50</t>
        </is>
      </c>
      <c r="B56" s="6" t="inlineStr">
        <is>
          <t>Through-wall fresh air fan with G4 filter and weather hood</t>
        </is>
      </c>
      <c r="C56" s="6" t="inlineStr">
        <is>
          <t>FAF-15: 10 L/s, 12 W</t>
        </is>
      </c>
      <c r="D56" s="6" t="inlineStr">
        <is>
          <t>No.</t>
        </is>
      </c>
      <c r="E56" s="6" t="n">
        <v>1</v>
      </c>
      <c r="F56" s="7" t="n">
        <v>0</v>
      </c>
      <c r="G56" s="6">
        <f>ROUNDUP(E56*(1+F56/100),0)</f>
        <v/>
      </c>
      <c r="H56" s="6" t="inlineStr">
        <is>
          <t>Z-SF-05</t>
        </is>
      </c>
      <c r="I56" s="6" t="inlineStr">
        <is>
          <t>Tags: FAF-SF-05</t>
        </is>
      </c>
    </row>
    <row r="57">
      <c r="A57" s="6" t="inlineStr">
        <is>
          <t>A.51</t>
        </is>
      </c>
      <c r="B57" s="6" t="inlineStr">
        <is>
          <t>Wall-mounted split indoor unit</t>
        </is>
      </c>
      <c r="C57" s="6" t="inlineStr">
        <is>
          <t>WS-09: 2.6 kW nominal cooling, 140 L/s, ESP 0 Pa, heat 2.9 kW, R410A</t>
        </is>
      </c>
      <c r="D57" s="6" t="inlineStr">
        <is>
          <t>No.</t>
        </is>
      </c>
      <c r="E57" s="6" t="n">
        <v>1</v>
      </c>
      <c r="F57" s="7" t="n">
        <v>0</v>
      </c>
      <c r="G57" s="6">
        <f>ROUNDUP(E57*(1+F57/100),0)</f>
        <v/>
      </c>
      <c r="H57" s="6" t="inlineStr">
        <is>
          <t>Z-SF-06</t>
        </is>
      </c>
      <c r="I57" s="6" t="inlineStr">
        <is>
          <t>Tags: IU-SF-06</t>
        </is>
      </c>
    </row>
    <row r="58">
      <c r="A58" s="6" t="inlineStr">
        <is>
          <t>A.52</t>
        </is>
      </c>
      <c r="B58" s="6" t="inlineStr">
        <is>
          <t>Through-wall fresh air fan with G4 filter and weather hood</t>
        </is>
      </c>
      <c r="C58" s="6" t="inlineStr">
        <is>
          <t>FAF-15: 10 L/s, 12 W</t>
        </is>
      </c>
      <c r="D58" s="6" t="inlineStr">
        <is>
          <t>No.</t>
        </is>
      </c>
      <c r="E58" s="6" t="n">
        <v>1</v>
      </c>
      <c r="F58" s="7" t="n">
        <v>0</v>
      </c>
      <c r="G58" s="6">
        <f>ROUNDUP(E58*(1+F58/100),0)</f>
        <v/>
      </c>
      <c r="H58" s="6" t="inlineStr">
        <is>
          <t>Z-SF-06</t>
        </is>
      </c>
      <c r="I58" s="6" t="inlineStr">
        <is>
          <t>Tags: FAF-SF-06</t>
        </is>
      </c>
    </row>
    <row r="59">
      <c r="A59" s="6" t="inlineStr">
        <is>
          <t>A.53</t>
        </is>
      </c>
      <c r="B59" s="6" t="inlineStr">
        <is>
          <t>Wall-mounted split indoor unit</t>
        </is>
      </c>
      <c r="C59" s="6" t="inlineStr">
        <is>
          <t>WS-09: 2.6 kW nominal cooling, 140 L/s, ESP 0 Pa, heat 2.9 kW, R410A</t>
        </is>
      </c>
      <c r="D59" s="6" t="inlineStr">
        <is>
          <t>No.</t>
        </is>
      </c>
      <c r="E59" s="6" t="n">
        <v>1</v>
      </c>
      <c r="F59" s="7" t="n">
        <v>0</v>
      </c>
      <c r="G59" s="6">
        <f>ROUNDUP(E59*(1+F59/100),0)</f>
        <v/>
      </c>
      <c r="H59" s="6" t="inlineStr">
        <is>
          <t>Z-SF-07</t>
        </is>
      </c>
      <c r="I59" s="6" t="inlineStr">
        <is>
          <t>Tags: IU-SF-07</t>
        </is>
      </c>
    </row>
    <row r="60">
      <c r="A60" s="6" t="inlineStr">
        <is>
          <t>A.54</t>
        </is>
      </c>
      <c r="B60" s="6" t="inlineStr">
        <is>
          <t>Through-wall fresh air fan with G4 filter and weather hood</t>
        </is>
      </c>
      <c r="C60" s="6" t="inlineStr">
        <is>
          <t>FAF-15: 10 L/s, 12 W</t>
        </is>
      </c>
      <c r="D60" s="6" t="inlineStr">
        <is>
          <t>No.</t>
        </is>
      </c>
      <c r="E60" s="6" t="n">
        <v>1</v>
      </c>
      <c r="F60" s="7" t="n">
        <v>0</v>
      </c>
      <c r="G60" s="6">
        <f>ROUNDUP(E60*(1+F60/100),0)</f>
        <v/>
      </c>
      <c r="H60" s="6" t="inlineStr">
        <is>
          <t>Z-SF-07</t>
        </is>
      </c>
      <c r="I60" s="6" t="inlineStr">
        <is>
          <t>Tags: FAF-SF-07</t>
        </is>
      </c>
    </row>
    <row r="61">
      <c r="A61" s="6" t="inlineStr">
        <is>
          <t>A.55</t>
        </is>
      </c>
      <c r="B61" s="6" t="inlineStr">
        <is>
          <t>Wall-mounted split indoor unit</t>
        </is>
      </c>
      <c r="C61" s="6" t="inlineStr">
        <is>
          <t>WS-09: 2.6 kW nominal cooling, 140 L/s, ESP 0 Pa, heat 2.9 kW, R410A</t>
        </is>
      </c>
      <c r="D61" s="6" t="inlineStr">
        <is>
          <t>No.</t>
        </is>
      </c>
      <c r="E61" s="6" t="n">
        <v>1</v>
      </c>
      <c r="F61" s="7" t="n">
        <v>0</v>
      </c>
      <c r="G61" s="6">
        <f>ROUNDUP(E61*(1+F61/100),0)</f>
        <v/>
      </c>
      <c r="H61" s="6" t="inlineStr">
        <is>
          <t>Z-SF-08</t>
        </is>
      </c>
      <c r="I61" s="6" t="inlineStr">
        <is>
          <t>Tags: IU-SF-08</t>
        </is>
      </c>
    </row>
    <row r="62">
      <c r="A62" s="6" t="inlineStr">
        <is>
          <t>A.56</t>
        </is>
      </c>
      <c r="B62" s="6" t="inlineStr">
        <is>
          <t>Through-wall fresh air fan with G4 filter and weather hood</t>
        </is>
      </c>
      <c r="C62" s="6" t="inlineStr">
        <is>
          <t>FAF-15: 10 L/s, 12 W</t>
        </is>
      </c>
      <c r="D62" s="6" t="inlineStr">
        <is>
          <t>No.</t>
        </is>
      </c>
      <c r="E62" s="6" t="n">
        <v>1</v>
      </c>
      <c r="F62" s="7" t="n">
        <v>0</v>
      </c>
      <c r="G62" s="6">
        <f>ROUNDUP(E62*(1+F62/100),0)</f>
        <v/>
      </c>
      <c r="H62" s="6" t="inlineStr">
        <is>
          <t>Z-SF-08</t>
        </is>
      </c>
      <c r="I62" s="6" t="inlineStr">
        <is>
          <t>Tags: FAF-SF-08</t>
        </is>
      </c>
    </row>
    <row r="63">
      <c r="A63" s="6" t="inlineStr">
        <is>
          <t>A.57</t>
        </is>
      </c>
      <c r="B63" s="6" t="inlineStr">
        <is>
          <t>Wall-mounted split indoor unit</t>
        </is>
      </c>
      <c r="C63" s="6" t="inlineStr">
        <is>
          <t>WS-09: 2.6 kW nominal cooling, 140 L/s, ESP 0 Pa, heat 2.9 kW, R410A</t>
        </is>
      </c>
      <c r="D63" s="6" t="inlineStr">
        <is>
          <t>No.</t>
        </is>
      </c>
      <c r="E63" s="6" t="n">
        <v>1</v>
      </c>
      <c r="F63" s="7" t="n">
        <v>0</v>
      </c>
      <c r="G63" s="6">
        <f>ROUNDUP(E63*(1+F63/100),0)</f>
        <v/>
      </c>
      <c r="H63" s="6" t="inlineStr">
        <is>
          <t>Z-SF-09</t>
        </is>
      </c>
      <c r="I63" s="6" t="inlineStr">
        <is>
          <t>Tags: IU-SF-09</t>
        </is>
      </c>
    </row>
    <row r="64">
      <c r="A64" s="6" t="inlineStr">
        <is>
          <t>A.58</t>
        </is>
      </c>
      <c r="B64" s="6" t="inlineStr">
        <is>
          <t>Through-wall fresh air fan with G4 filter and weather hood</t>
        </is>
      </c>
      <c r="C64" s="6" t="inlineStr">
        <is>
          <t>FAF-15: 10 L/s, 12 W</t>
        </is>
      </c>
      <c r="D64" s="6" t="inlineStr">
        <is>
          <t>No.</t>
        </is>
      </c>
      <c r="E64" s="6" t="n">
        <v>1</v>
      </c>
      <c r="F64" s="7" t="n">
        <v>0</v>
      </c>
      <c r="G64" s="6">
        <f>ROUNDUP(E64*(1+F64/100),0)</f>
        <v/>
      </c>
      <c r="H64" s="6" t="inlineStr">
        <is>
          <t>Z-SF-09</t>
        </is>
      </c>
      <c r="I64" s="6" t="inlineStr">
        <is>
          <t>Tags: FAF-SF-09</t>
        </is>
      </c>
    </row>
    <row r="65">
      <c r="A65" s="6" t="inlineStr">
        <is>
          <t>A.59</t>
        </is>
      </c>
      <c r="B65" s="6" t="inlineStr">
        <is>
          <t>Ducted split indoor unit (concealed)</t>
        </is>
      </c>
      <c r="C65" s="6" t="inlineStr">
        <is>
          <t>DS-18: 5.3 kW nominal cooling, 300 L/s, ESP 75 Pa, heat 5.8 kW, R410A</t>
        </is>
      </c>
      <c r="D65" s="6" t="inlineStr">
        <is>
          <t>No.</t>
        </is>
      </c>
      <c r="E65" s="6" t="n">
        <v>1</v>
      </c>
      <c r="F65" s="7" t="n">
        <v>0</v>
      </c>
      <c r="G65" s="6">
        <f>ROUNDUP(E65*(1+F65/100),0)</f>
        <v/>
      </c>
      <c r="H65" s="6" t="inlineStr">
        <is>
          <t>Z-SF-10</t>
        </is>
      </c>
      <c r="I65" s="6" t="inlineStr">
        <is>
          <t>Tags: IU-SF-10</t>
        </is>
      </c>
    </row>
    <row r="66">
      <c r="A66" s="6" t="inlineStr">
        <is>
          <t>A.60</t>
        </is>
      </c>
      <c r="B66" s="6" t="inlineStr">
        <is>
          <t>Ducted split indoor unit (concealed)</t>
        </is>
      </c>
      <c r="C66" s="6" t="inlineStr">
        <is>
          <t>DS-18: 5.3 kW nominal cooling, 300 L/s, ESP 75 Pa, heat 5.8 kW, R410A</t>
        </is>
      </c>
      <c r="D66" s="6" t="inlineStr">
        <is>
          <t>No.</t>
        </is>
      </c>
      <c r="E66" s="6" t="n">
        <v>1</v>
      </c>
      <c r="F66" s="7" t="n">
        <v>0</v>
      </c>
      <c r="G66" s="6">
        <f>ROUNDUP(E66*(1+F66/100),0)</f>
        <v/>
      </c>
      <c r="H66" s="6" t="inlineStr">
        <is>
          <t>Z-SF-11</t>
        </is>
      </c>
      <c r="I66" s="6" t="inlineStr">
        <is>
          <t>Tags: IU-SF-11</t>
        </is>
      </c>
    </row>
    <row r="67">
      <c r="A67" s="6" t="inlineStr">
        <is>
          <t>A.61</t>
        </is>
      </c>
      <c r="B67" s="6" t="inlineStr">
        <is>
          <t>Ducted split indoor unit (concealed)</t>
        </is>
      </c>
      <c r="C67" s="6" t="inlineStr">
        <is>
          <t>DS-18: 5.3 kW nominal cooling, 300 L/s, ESP 75 Pa, heat 5.8 kW, R410A</t>
        </is>
      </c>
      <c r="D67" s="6" t="inlineStr">
        <is>
          <t>No.</t>
        </is>
      </c>
      <c r="E67" s="6" t="n">
        <v>1</v>
      </c>
      <c r="F67" s="7" t="n">
        <v>0</v>
      </c>
      <c r="G67" s="6">
        <f>ROUNDUP(E67*(1+F67/100),0)</f>
        <v/>
      </c>
      <c r="H67" s="6" t="inlineStr">
        <is>
          <t>Z-SF-12</t>
        </is>
      </c>
      <c r="I67" s="6" t="inlineStr">
        <is>
          <t>Tags: IU-SF-12</t>
        </is>
      </c>
    </row>
    <row r="68">
      <c r="A68" s="6" t="inlineStr">
        <is>
          <t>A.62</t>
        </is>
      </c>
      <c r="B68" s="6" t="inlineStr">
        <is>
          <t>Ducted split indoor unit (concealed)</t>
        </is>
      </c>
      <c r="C68" s="6" t="inlineStr">
        <is>
          <t>DS-18: 5.3 kW nominal cooling, 300 L/s, ESP 75 Pa, heat 5.8 kW, R410A</t>
        </is>
      </c>
      <c r="D68" s="6" t="inlineStr">
        <is>
          <t>No.</t>
        </is>
      </c>
      <c r="E68" s="6" t="n">
        <v>1</v>
      </c>
      <c r="F68" s="7" t="n">
        <v>0</v>
      </c>
      <c r="G68" s="6">
        <f>ROUNDUP(E68*(1+F68/100),0)</f>
        <v/>
      </c>
      <c r="H68" s="6" t="inlineStr">
        <is>
          <t>Z-SF-13</t>
        </is>
      </c>
      <c r="I68" s="6" t="inlineStr">
        <is>
          <t>Tags: IU-SF-13</t>
        </is>
      </c>
    </row>
    <row r="69">
      <c r="A69" s="6" t="inlineStr">
        <is>
          <t>A.63</t>
        </is>
      </c>
      <c r="B69" s="6" t="inlineStr">
        <is>
          <t>Wall-mounted split indoor unit</t>
        </is>
      </c>
      <c r="C69" s="6" t="inlineStr">
        <is>
          <t>WS-09: 2.6 kW nominal cooling, 140 L/s, ESP 0 Pa, heat 2.9 kW, R410A</t>
        </is>
      </c>
      <c r="D69" s="6" t="inlineStr">
        <is>
          <t>No.</t>
        </is>
      </c>
      <c r="E69" s="6" t="n">
        <v>1</v>
      </c>
      <c r="F69" s="7" t="n">
        <v>0</v>
      </c>
      <c r="G69" s="6">
        <f>ROUNDUP(E69*(1+F69/100),0)</f>
        <v/>
      </c>
      <c r="H69" s="6" t="inlineStr">
        <is>
          <t>Z-TF-01</t>
        </is>
      </c>
      <c r="I69" s="6" t="inlineStr">
        <is>
          <t>Tags: IU-TF-01</t>
        </is>
      </c>
    </row>
    <row r="70">
      <c r="A70" s="6" t="inlineStr">
        <is>
          <t>A.64</t>
        </is>
      </c>
      <c r="B70" s="6" t="inlineStr">
        <is>
          <t>Through-wall fresh air fan with G4 filter and weather hood</t>
        </is>
      </c>
      <c r="C70" s="6" t="inlineStr">
        <is>
          <t>FAF-15: 10 L/s, 12 W</t>
        </is>
      </c>
      <c r="D70" s="6" t="inlineStr">
        <is>
          <t>No.</t>
        </is>
      </c>
      <c r="E70" s="6" t="n">
        <v>1</v>
      </c>
      <c r="F70" s="7" t="n">
        <v>0</v>
      </c>
      <c r="G70" s="6">
        <f>ROUNDUP(E70*(1+F70/100),0)</f>
        <v/>
      </c>
      <c r="H70" s="6" t="inlineStr">
        <is>
          <t>Z-TF-01</t>
        </is>
      </c>
      <c r="I70" s="6" t="inlineStr">
        <is>
          <t>Tags: FAF-TF-01</t>
        </is>
      </c>
    </row>
    <row r="71">
      <c r="A71" s="6" t="inlineStr">
        <is>
          <t>A.65</t>
        </is>
      </c>
      <c r="B71" s="6" t="inlineStr">
        <is>
          <t>Wall-mounted split indoor unit</t>
        </is>
      </c>
      <c r="C71" s="6" t="inlineStr">
        <is>
          <t>WS-09: 2.6 kW nominal cooling, 140 L/s, ESP 0 Pa, heat 2.9 kW, R410A</t>
        </is>
      </c>
      <c r="D71" s="6" t="inlineStr">
        <is>
          <t>No.</t>
        </is>
      </c>
      <c r="E71" s="6" t="n">
        <v>1</v>
      </c>
      <c r="F71" s="7" t="n">
        <v>0</v>
      </c>
      <c r="G71" s="6">
        <f>ROUNDUP(E71*(1+F71/100),0)</f>
        <v/>
      </c>
      <c r="H71" s="6" t="inlineStr">
        <is>
          <t>Z-TF-02</t>
        </is>
      </c>
      <c r="I71" s="6" t="inlineStr">
        <is>
          <t>Tags: IU-TF-02</t>
        </is>
      </c>
    </row>
    <row r="72">
      <c r="A72" s="6" t="inlineStr">
        <is>
          <t>A.66</t>
        </is>
      </c>
      <c r="B72" s="6" t="inlineStr">
        <is>
          <t>Through-wall fresh air fan with G4 filter and weather hood</t>
        </is>
      </c>
      <c r="C72" s="6" t="inlineStr">
        <is>
          <t>FAF-15: 10 L/s, 12 W</t>
        </is>
      </c>
      <c r="D72" s="6" t="inlineStr">
        <is>
          <t>No.</t>
        </is>
      </c>
      <c r="E72" s="6" t="n">
        <v>1</v>
      </c>
      <c r="F72" s="7" t="n">
        <v>0</v>
      </c>
      <c r="G72" s="6">
        <f>ROUNDUP(E72*(1+F72/100),0)</f>
        <v/>
      </c>
      <c r="H72" s="6" t="inlineStr">
        <is>
          <t>Z-TF-02</t>
        </is>
      </c>
      <c r="I72" s="6" t="inlineStr">
        <is>
          <t>Tags: FAF-TF-02</t>
        </is>
      </c>
    </row>
    <row r="73">
      <c r="A73" s="6" t="inlineStr">
        <is>
          <t>A.67</t>
        </is>
      </c>
      <c r="B73" s="6" t="inlineStr">
        <is>
          <t>Wall-mounted split indoor unit</t>
        </is>
      </c>
      <c r="C73" s="6" t="inlineStr">
        <is>
          <t>WS-09: 2.6 kW nominal cooling, 140 L/s, ESP 0 Pa, heat 2.9 kW, R410A</t>
        </is>
      </c>
      <c r="D73" s="6" t="inlineStr">
        <is>
          <t>No.</t>
        </is>
      </c>
      <c r="E73" s="6" t="n">
        <v>1</v>
      </c>
      <c r="F73" s="7" t="n">
        <v>0</v>
      </c>
      <c r="G73" s="6">
        <f>ROUNDUP(E73*(1+F73/100),0)</f>
        <v/>
      </c>
      <c r="H73" s="6" t="inlineStr">
        <is>
          <t>Z-TF-03</t>
        </is>
      </c>
      <c r="I73" s="6" t="inlineStr">
        <is>
          <t>Tags: IU-TF-03</t>
        </is>
      </c>
    </row>
    <row r="74">
      <c r="A74" s="6" t="inlineStr">
        <is>
          <t>A.68</t>
        </is>
      </c>
      <c r="B74" s="6" t="inlineStr">
        <is>
          <t>Through-wall fresh air fan with G4 filter and weather hood</t>
        </is>
      </c>
      <c r="C74" s="6" t="inlineStr">
        <is>
          <t>FAF-15: 10 L/s, 12 W</t>
        </is>
      </c>
      <c r="D74" s="6" t="inlineStr">
        <is>
          <t>No.</t>
        </is>
      </c>
      <c r="E74" s="6" t="n">
        <v>1</v>
      </c>
      <c r="F74" s="7" t="n">
        <v>0</v>
      </c>
      <c r="G74" s="6">
        <f>ROUNDUP(E74*(1+F74/100),0)</f>
        <v/>
      </c>
      <c r="H74" s="6" t="inlineStr">
        <is>
          <t>Z-TF-03</t>
        </is>
      </c>
      <c r="I74" s="6" t="inlineStr">
        <is>
          <t>Tags: FAF-TF-03</t>
        </is>
      </c>
    </row>
    <row r="75">
      <c r="A75" s="6" t="inlineStr">
        <is>
          <t>A.69</t>
        </is>
      </c>
      <c r="B75" s="6" t="inlineStr">
        <is>
          <t>Wall-mounted split indoor unit</t>
        </is>
      </c>
      <c r="C75" s="6" t="inlineStr">
        <is>
          <t>WS-09: 2.6 kW nominal cooling, 140 L/s, ESP 0 Pa, heat 2.9 kW, R410A</t>
        </is>
      </c>
      <c r="D75" s="6" t="inlineStr">
        <is>
          <t>No.</t>
        </is>
      </c>
      <c r="E75" s="6" t="n">
        <v>1</v>
      </c>
      <c r="F75" s="7" t="n">
        <v>0</v>
      </c>
      <c r="G75" s="6">
        <f>ROUNDUP(E75*(1+F75/100),0)</f>
        <v/>
      </c>
      <c r="H75" s="6" t="inlineStr">
        <is>
          <t>Z-TF-04</t>
        </is>
      </c>
      <c r="I75" s="6" t="inlineStr">
        <is>
          <t>Tags: IU-TF-04</t>
        </is>
      </c>
    </row>
    <row r="76">
      <c r="A76" s="6" t="inlineStr">
        <is>
          <t>A.70</t>
        </is>
      </c>
      <c r="B76" s="6" t="inlineStr">
        <is>
          <t>Through-wall fresh air fan with G4 filter and weather hood</t>
        </is>
      </c>
      <c r="C76" s="6" t="inlineStr">
        <is>
          <t>FAF-15: 10 L/s, 12 W</t>
        </is>
      </c>
      <c r="D76" s="6" t="inlineStr">
        <is>
          <t>No.</t>
        </is>
      </c>
      <c r="E76" s="6" t="n">
        <v>1</v>
      </c>
      <c r="F76" s="7" t="n">
        <v>0</v>
      </c>
      <c r="G76" s="6">
        <f>ROUNDUP(E76*(1+F76/100),0)</f>
        <v/>
      </c>
      <c r="H76" s="6" t="inlineStr">
        <is>
          <t>Z-TF-04</t>
        </is>
      </c>
      <c r="I76" s="6" t="inlineStr">
        <is>
          <t>Tags: FAF-TF-04</t>
        </is>
      </c>
    </row>
    <row r="77">
      <c r="A77" s="6" t="inlineStr">
        <is>
          <t>A.71</t>
        </is>
      </c>
      <c r="B77" s="6" t="inlineStr">
        <is>
          <t>Wall-mounted split indoor unit</t>
        </is>
      </c>
      <c r="C77" s="6" t="inlineStr">
        <is>
          <t>WS-09: 2.6 kW nominal cooling, 140 L/s, ESP 0 Pa, heat 2.9 kW, R410A</t>
        </is>
      </c>
      <c r="D77" s="6" t="inlineStr">
        <is>
          <t>No.</t>
        </is>
      </c>
      <c r="E77" s="6" t="n">
        <v>1</v>
      </c>
      <c r="F77" s="7" t="n">
        <v>0</v>
      </c>
      <c r="G77" s="6">
        <f>ROUNDUP(E77*(1+F77/100),0)</f>
        <v/>
      </c>
      <c r="H77" s="6" t="inlineStr">
        <is>
          <t>Z-TF-05</t>
        </is>
      </c>
      <c r="I77" s="6" t="inlineStr">
        <is>
          <t>Tags: IU-TF-05</t>
        </is>
      </c>
    </row>
    <row r="78">
      <c r="A78" s="6" t="inlineStr">
        <is>
          <t>A.72</t>
        </is>
      </c>
      <c r="B78" s="6" t="inlineStr">
        <is>
          <t>Through-wall fresh air fan with G4 filter and weather hood</t>
        </is>
      </c>
      <c r="C78" s="6" t="inlineStr">
        <is>
          <t>FAF-15: 10 L/s, 12 W</t>
        </is>
      </c>
      <c r="D78" s="6" t="inlineStr">
        <is>
          <t>No.</t>
        </is>
      </c>
      <c r="E78" s="6" t="n">
        <v>1</v>
      </c>
      <c r="F78" s="7" t="n">
        <v>0</v>
      </c>
      <c r="G78" s="6">
        <f>ROUNDUP(E78*(1+F78/100),0)</f>
        <v/>
      </c>
      <c r="H78" s="6" t="inlineStr">
        <is>
          <t>Z-TF-05</t>
        </is>
      </c>
      <c r="I78" s="6" t="inlineStr">
        <is>
          <t>Tags: FAF-TF-05</t>
        </is>
      </c>
    </row>
    <row r="79">
      <c r="A79" s="6" t="inlineStr">
        <is>
          <t>A.73</t>
        </is>
      </c>
      <c r="B79" s="6" t="inlineStr">
        <is>
          <t>Wall-mounted split indoor unit</t>
        </is>
      </c>
      <c r="C79" s="6" t="inlineStr">
        <is>
          <t>WS-09: 2.6 kW nominal cooling, 140 L/s, ESP 0 Pa, heat 2.9 kW, R410A</t>
        </is>
      </c>
      <c r="D79" s="6" t="inlineStr">
        <is>
          <t>No.</t>
        </is>
      </c>
      <c r="E79" s="6" t="n">
        <v>1</v>
      </c>
      <c r="F79" s="7" t="n">
        <v>0</v>
      </c>
      <c r="G79" s="6">
        <f>ROUNDUP(E79*(1+F79/100),0)</f>
        <v/>
      </c>
      <c r="H79" s="6" t="inlineStr">
        <is>
          <t>Z-TF-06</t>
        </is>
      </c>
      <c r="I79" s="6" t="inlineStr">
        <is>
          <t>Tags: IU-TF-06</t>
        </is>
      </c>
    </row>
    <row r="80">
      <c r="A80" s="6" t="inlineStr">
        <is>
          <t>A.74</t>
        </is>
      </c>
      <c r="B80" s="6" t="inlineStr">
        <is>
          <t>Through-wall fresh air fan with G4 filter and weather hood</t>
        </is>
      </c>
      <c r="C80" s="6" t="inlineStr">
        <is>
          <t>FAF-15: 10 L/s, 12 W</t>
        </is>
      </c>
      <c r="D80" s="6" t="inlineStr">
        <is>
          <t>No.</t>
        </is>
      </c>
      <c r="E80" s="6" t="n">
        <v>1</v>
      </c>
      <c r="F80" s="7" t="n">
        <v>0</v>
      </c>
      <c r="G80" s="6">
        <f>ROUNDUP(E80*(1+F80/100),0)</f>
        <v/>
      </c>
      <c r="H80" s="6" t="inlineStr">
        <is>
          <t>Z-TF-06</t>
        </is>
      </c>
      <c r="I80" s="6" t="inlineStr">
        <is>
          <t>Tags: FAF-TF-06</t>
        </is>
      </c>
    </row>
    <row r="81">
      <c r="A81" s="6" t="inlineStr">
        <is>
          <t>A.75</t>
        </is>
      </c>
      <c r="B81" s="6" t="inlineStr">
        <is>
          <t>Wall-mounted split indoor unit</t>
        </is>
      </c>
      <c r="C81" s="6" t="inlineStr">
        <is>
          <t>WS-09: 2.6 kW nominal cooling, 140 L/s, ESP 0 Pa, heat 2.9 kW, R410A</t>
        </is>
      </c>
      <c r="D81" s="6" t="inlineStr">
        <is>
          <t>No.</t>
        </is>
      </c>
      <c r="E81" s="6" t="n">
        <v>1</v>
      </c>
      <c r="F81" s="7" t="n">
        <v>0</v>
      </c>
      <c r="G81" s="6">
        <f>ROUNDUP(E81*(1+F81/100),0)</f>
        <v/>
      </c>
      <c r="H81" s="6" t="inlineStr">
        <is>
          <t>Z-TF-07</t>
        </is>
      </c>
      <c r="I81" s="6" t="inlineStr">
        <is>
          <t>Tags: IU-TF-07</t>
        </is>
      </c>
    </row>
    <row r="82">
      <c r="A82" s="6" t="inlineStr">
        <is>
          <t>A.76</t>
        </is>
      </c>
      <c r="B82" s="6" t="inlineStr">
        <is>
          <t>Through-wall fresh air fan with G4 filter and weather hood</t>
        </is>
      </c>
      <c r="C82" s="6" t="inlineStr">
        <is>
          <t>FAF-15: 10 L/s, 12 W</t>
        </is>
      </c>
      <c r="D82" s="6" t="inlineStr">
        <is>
          <t>No.</t>
        </is>
      </c>
      <c r="E82" s="6" t="n">
        <v>1</v>
      </c>
      <c r="F82" s="7" t="n">
        <v>0</v>
      </c>
      <c r="G82" s="6">
        <f>ROUNDUP(E82*(1+F82/100),0)</f>
        <v/>
      </c>
      <c r="H82" s="6" t="inlineStr">
        <is>
          <t>Z-TF-07</t>
        </is>
      </c>
      <c r="I82" s="6" t="inlineStr">
        <is>
          <t>Tags: FAF-TF-07</t>
        </is>
      </c>
    </row>
    <row r="83">
      <c r="A83" s="6" t="inlineStr">
        <is>
          <t>A.77</t>
        </is>
      </c>
      <c r="B83" s="6" t="inlineStr">
        <is>
          <t>Wall-mounted split indoor unit</t>
        </is>
      </c>
      <c r="C83" s="6" t="inlineStr">
        <is>
          <t>WS-09: 2.6 kW nominal cooling, 140 L/s, ESP 0 Pa, heat 2.9 kW, R410A</t>
        </is>
      </c>
      <c r="D83" s="6" t="inlineStr">
        <is>
          <t>No.</t>
        </is>
      </c>
      <c r="E83" s="6" t="n">
        <v>1</v>
      </c>
      <c r="F83" s="7" t="n">
        <v>0</v>
      </c>
      <c r="G83" s="6">
        <f>ROUNDUP(E83*(1+F83/100),0)</f>
        <v/>
      </c>
      <c r="H83" s="6" t="inlineStr">
        <is>
          <t>Z-TF-08</t>
        </is>
      </c>
      <c r="I83" s="6" t="inlineStr">
        <is>
          <t>Tags: IU-TF-08</t>
        </is>
      </c>
    </row>
    <row r="84">
      <c r="A84" s="6" t="inlineStr">
        <is>
          <t>A.78</t>
        </is>
      </c>
      <c r="B84" s="6" t="inlineStr">
        <is>
          <t>Through-wall fresh air fan with G4 filter and weather hood</t>
        </is>
      </c>
      <c r="C84" s="6" t="inlineStr">
        <is>
          <t>FAF-15: 10 L/s, 12 W</t>
        </is>
      </c>
      <c r="D84" s="6" t="inlineStr">
        <is>
          <t>No.</t>
        </is>
      </c>
      <c r="E84" s="6" t="n">
        <v>1</v>
      </c>
      <c r="F84" s="7" t="n">
        <v>0</v>
      </c>
      <c r="G84" s="6">
        <f>ROUNDUP(E84*(1+F84/100),0)</f>
        <v/>
      </c>
      <c r="H84" s="6" t="inlineStr">
        <is>
          <t>Z-TF-08</t>
        </is>
      </c>
      <c r="I84" s="6" t="inlineStr">
        <is>
          <t>Tags: FAF-TF-08</t>
        </is>
      </c>
    </row>
    <row r="85">
      <c r="A85" s="6" t="inlineStr">
        <is>
          <t>A.79</t>
        </is>
      </c>
      <c r="B85" s="6" t="inlineStr">
        <is>
          <t>Ducted split indoor unit (concealed)</t>
        </is>
      </c>
      <c r="C85" s="6" t="inlineStr">
        <is>
          <t>DS-18: 5.3 kW nominal cooling, 300 L/s, ESP 75 Pa, heat 5.8 kW, R410A</t>
        </is>
      </c>
      <c r="D85" s="6" t="inlineStr">
        <is>
          <t>No.</t>
        </is>
      </c>
      <c r="E85" s="6" t="n">
        <v>1</v>
      </c>
      <c r="F85" s="7" t="n">
        <v>0</v>
      </c>
      <c r="G85" s="6">
        <f>ROUNDUP(E85*(1+F85/100),0)</f>
        <v/>
      </c>
      <c r="H85" s="6" t="inlineStr">
        <is>
          <t>Z-TF-09</t>
        </is>
      </c>
      <c r="I85" s="6" t="inlineStr">
        <is>
          <t>Tags: IU-TF-09</t>
        </is>
      </c>
    </row>
    <row r="86">
      <c r="A86" s="6" t="inlineStr">
        <is>
          <t>A.80</t>
        </is>
      </c>
      <c r="B86" s="6" t="inlineStr">
        <is>
          <t>Ducted split indoor unit (concealed)</t>
        </is>
      </c>
      <c r="C86" s="6" t="inlineStr">
        <is>
          <t>DS-18: 5.3 kW nominal cooling, 300 L/s, ESP 75 Pa, heat 5.8 kW, R410A</t>
        </is>
      </c>
      <c r="D86" s="6" t="inlineStr">
        <is>
          <t>No.</t>
        </is>
      </c>
      <c r="E86" s="6" t="n">
        <v>1</v>
      </c>
      <c r="F86" s="7" t="n">
        <v>0</v>
      </c>
      <c r="G86" s="6">
        <f>ROUNDUP(E86*(1+F86/100),0)</f>
        <v/>
      </c>
      <c r="H86" s="6" t="inlineStr">
        <is>
          <t>Z-TF-10</t>
        </is>
      </c>
      <c r="I86" s="6" t="inlineStr">
        <is>
          <t>Tags: IU-TF-10</t>
        </is>
      </c>
    </row>
    <row r="87">
      <c r="A87" s="6" t="inlineStr">
        <is>
          <t>A.81</t>
        </is>
      </c>
      <c r="B87" s="6" t="inlineStr">
        <is>
          <t>Ducted split indoor unit (concealed)</t>
        </is>
      </c>
      <c r="C87" s="6" t="inlineStr">
        <is>
          <t>DS-18: 5.3 kW nominal cooling, 300 L/s, ESP 75 Pa, heat 5.8 kW, R410A</t>
        </is>
      </c>
      <c r="D87" s="6" t="inlineStr">
        <is>
          <t>No.</t>
        </is>
      </c>
      <c r="E87" s="6" t="n">
        <v>1</v>
      </c>
      <c r="F87" s="7" t="n">
        <v>0</v>
      </c>
      <c r="G87" s="6">
        <f>ROUNDUP(E87*(1+F87/100),0)</f>
        <v/>
      </c>
      <c r="H87" s="6" t="inlineStr">
        <is>
          <t>Z-TF-11</t>
        </is>
      </c>
      <c r="I87" s="6" t="inlineStr">
        <is>
          <t>Tags: IU-TF-11</t>
        </is>
      </c>
    </row>
    <row r="88">
      <c r="A88" s="6" t="inlineStr">
        <is>
          <t>A.82</t>
        </is>
      </c>
      <c r="B88" s="6" t="inlineStr">
        <is>
          <t>Ducted split indoor unit (concealed)</t>
        </is>
      </c>
      <c r="C88" s="6" t="inlineStr">
        <is>
          <t>DS-18: 5.3 kW nominal cooling, 300 L/s, ESP 75 Pa, heat 5.8 kW, R410A</t>
        </is>
      </c>
      <c r="D88" s="6" t="inlineStr">
        <is>
          <t>No.</t>
        </is>
      </c>
      <c r="E88" s="6" t="n">
        <v>1</v>
      </c>
      <c r="F88" s="7" t="n">
        <v>0</v>
      </c>
      <c r="G88" s="6">
        <f>ROUNDUP(E88*(1+F88/100),0)</f>
        <v/>
      </c>
      <c r="H88" s="6" t="inlineStr">
        <is>
          <t>Z-TF-12</t>
        </is>
      </c>
      <c r="I88" s="6" t="inlineStr">
        <is>
          <t>Tags: IU-TF-12</t>
        </is>
      </c>
    </row>
    <row r="89">
      <c r="A89" s="6" t="inlineStr">
        <is>
          <t>A.83</t>
        </is>
      </c>
      <c r="B89" s="6" t="inlineStr">
        <is>
          <t>Outdoor condensing unit (heat pump)</t>
        </is>
      </c>
      <c r="C89" s="6" t="inlineStr">
        <is>
          <t>WS-O-09: 2.6 kW nominal, 0.76 kW input, T3 rated, anti-vibration mounts</t>
        </is>
      </c>
      <c r="D89" s="6" t="inlineStr">
        <is>
          <t>No.</t>
        </is>
      </c>
      <c r="E89" s="6" t="n">
        <v>1</v>
      </c>
      <c r="F89" s="7" t="n">
        <v>0</v>
      </c>
      <c r="G89" s="6">
        <f>ROUNDUP(E89*(1+F89/100),0)</f>
        <v/>
      </c>
      <c r="H89" s="6" t="inlineStr">
        <is>
          <t>GF</t>
        </is>
      </c>
      <c r="I89" s="6" t="inlineStr">
        <is>
          <t>Tags: ODU-01</t>
        </is>
      </c>
    </row>
    <row r="90">
      <c r="A90" s="6" t="inlineStr">
        <is>
          <t>A.84</t>
        </is>
      </c>
      <c r="B90" s="6" t="inlineStr">
        <is>
          <t>Outdoor condensing unit (heat pump)</t>
        </is>
      </c>
      <c r="C90" s="6" t="inlineStr">
        <is>
          <t>WS-O-09: 2.6 kW nominal, 0.76 kW input, T3 rated, anti-vibration mounts</t>
        </is>
      </c>
      <c r="D90" s="6" t="inlineStr">
        <is>
          <t>No.</t>
        </is>
      </c>
      <c r="E90" s="6" t="n">
        <v>1</v>
      </c>
      <c r="F90" s="7" t="n">
        <v>0</v>
      </c>
      <c r="G90" s="6">
        <f>ROUNDUP(E90*(1+F90/100),0)</f>
        <v/>
      </c>
      <c r="H90" s="6" t="inlineStr">
        <is>
          <t>GF</t>
        </is>
      </c>
      <c r="I90" s="6" t="inlineStr">
        <is>
          <t>Tags: ODU-02</t>
        </is>
      </c>
    </row>
    <row r="91">
      <c r="A91" s="6" t="inlineStr">
        <is>
          <t>A.85</t>
        </is>
      </c>
      <c r="B91" s="6" t="inlineStr">
        <is>
          <t>Outdoor condensing unit (heat pump)</t>
        </is>
      </c>
      <c r="C91" s="6" t="inlineStr">
        <is>
          <t>WS-O-09: 2.6 kW nominal, 0.76 kW input, T3 rated, anti-vibration mounts</t>
        </is>
      </c>
      <c r="D91" s="6" t="inlineStr">
        <is>
          <t>No.</t>
        </is>
      </c>
      <c r="E91" s="6" t="n">
        <v>1</v>
      </c>
      <c r="F91" s="7" t="n">
        <v>0</v>
      </c>
      <c r="G91" s="6">
        <f>ROUNDUP(E91*(1+F91/100),0)</f>
        <v/>
      </c>
      <c r="H91" s="6" t="inlineStr">
        <is>
          <t>GF</t>
        </is>
      </c>
      <c r="I91" s="6" t="inlineStr">
        <is>
          <t>Tags: ODU-03</t>
        </is>
      </c>
    </row>
    <row r="92">
      <c r="A92" s="6" t="inlineStr">
        <is>
          <t>A.86</t>
        </is>
      </c>
      <c r="B92" s="6" t="inlineStr">
        <is>
          <t>Outdoor condensing unit (heat pump)</t>
        </is>
      </c>
      <c r="C92" s="6" t="inlineStr">
        <is>
          <t>WS-O-09: 2.6 kW nominal, 0.76 kW input, T3 rated, anti-vibration mounts</t>
        </is>
      </c>
      <c r="D92" s="6" t="inlineStr">
        <is>
          <t>No.</t>
        </is>
      </c>
      <c r="E92" s="6" t="n">
        <v>1</v>
      </c>
      <c r="F92" s="7" t="n">
        <v>0</v>
      </c>
      <c r="G92" s="6">
        <f>ROUNDUP(E92*(1+F92/100),0)</f>
        <v/>
      </c>
      <c r="H92" s="6" t="inlineStr">
        <is>
          <t>GF</t>
        </is>
      </c>
      <c r="I92" s="6" t="inlineStr">
        <is>
          <t>Tags: ODU-04</t>
        </is>
      </c>
    </row>
    <row r="93">
      <c r="A93" s="6" t="inlineStr">
        <is>
          <t>A.87</t>
        </is>
      </c>
      <c r="B93" s="6" t="inlineStr">
        <is>
          <t>Outdoor condensing unit (heat pump)</t>
        </is>
      </c>
      <c r="C93" s="6" t="inlineStr">
        <is>
          <t>WS-O-09: 2.6 kW nominal, 0.76 kW input, T3 rated, anti-vibration mounts</t>
        </is>
      </c>
      <c r="D93" s="6" t="inlineStr">
        <is>
          <t>No.</t>
        </is>
      </c>
      <c r="E93" s="6" t="n">
        <v>1</v>
      </c>
      <c r="F93" s="7" t="n">
        <v>0</v>
      </c>
      <c r="G93" s="6">
        <f>ROUNDUP(E93*(1+F93/100),0)</f>
        <v/>
      </c>
      <c r="H93" s="6" t="inlineStr">
        <is>
          <t>GF</t>
        </is>
      </c>
      <c r="I93" s="6" t="inlineStr">
        <is>
          <t>Tags: ODU-05</t>
        </is>
      </c>
    </row>
    <row r="94">
      <c r="A94" s="6" t="inlineStr">
        <is>
          <t>A.88</t>
        </is>
      </c>
      <c r="B94" s="6" t="inlineStr">
        <is>
          <t>Outdoor condensing unit (heat pump)</t>
        </is>
      </c>
      <c r="C94" s="6" t="inlineStr">
        <is>
          <t>WS-O-09: 2.6 kW nominal, 0.76 kW input, T3 rated, anti-vibration mounts</t>
        </is>
      </c>
      <c r="D94" s="6" t="inlineStr">
        <is>
          <t>No.</t>
        </is>
      </c>
      <c r="E94" s="6" t="n">
        <v>1</v>
      </c>
      <c r="F94" s="7" t="n">
        <v>0</v>
      </c>
      <c r="G94" s="6">
        <f>ROUNDUP(E94*(1+F94/100),0)</f>
        <v/>
      </c>
      <c r="H94" s="6" t="inlineStr">
        <is>
          <t>GF</t>
        </is>
      </c>
      <c r="I94" s="6" t="inlineStr">
        <is>
          <t>Tags: ODU-06</t>
        </is>
      </c>
    </row>
    <row r="95">
      <c r="A95" s="6" t="inlineStr">
        <is>
          <t>A.89</t>
        </is>
      </c>
      <c r="B95" s="6" t="inlineStr">
        <is>
          <t>Outdoor condensing unit (heat pump)</t>
        </is>
      </c>
      <c r="C95" s="6" t="inlineStr">
        <is>
          <t>WS-O-09: 2.6 kW nominal, 0.76 kW input, T3 rated, anti-vibration mounts</t>
        </is>
      </c>
      <c r="D95" s="6" t="inlineStr">
        <is>
          <t>No.</t>
        </is>
      </c>
      <c r="E95" s="6" t="n">
        <v>1</v>
      </c>
      <c r="F95" s="7" t="n">
        <v>0</v>
      </c>
      <c r="G95" s="6">
        <f>ROUNDUP(E95*(1+F95/100),0)</f>
        <v/>
      </c>
      <c r="H95" s="6" t="inlineStr">
        <is>
          <t>GF</t>
        </is>
      </c>
      <c r="I95" s="6" t="inlineStr">
        <is>
          <t>Tags: ODU-07</t>
        </is>
      </c>
    </row>
    <row r="96">
      <c r="A96" s="6" t="inlineStr">
        <is>
          <t>A.90</t>
        </is>
      </c>
      <c r="B96" s="6" t="inlineStr">
        <is>
          <t>Outdoor condensing unit (heat pump)</t>
        </is>
      </c>
      <c r="C96" s="6" t="inlineStr">
        <is>
          <t>WS-O-09: 2.6 kW nominal, 0.76 kW input, T3 rated, anti-vibration mounts</t>
        </is>
      </c>
      <c r="D96" s="6" t="inlineStr">
        <is>
          <t>No.</t>
        </is>
      </c>
      <c r="E96" s="6" t="n">
        <v>1</v>
      </c>
      <c r="F96" s="7" t="n">
        <v>0</v>
      </c>
      <c r="G96" s="6">
        <f>ROUNDUP(E96*(1+F96/100),0)</f>
        <v/>
      </c>
      <c r="H96" s="6" t="inlineStr">
        <is>
          <t>GF</t>
        </is>
      </c>
      <c r="I96" s="6" t="inlineStr">
        <is>
          <t>Tags: ODU-08</t>
        </is>
      </c>
    </row>
    <row r="97">
      <c r="A97" s="6" t="inlineStr">
        <is>
          <t>A.91</t>
        </is>
      </c>
      <c r="B97" s="6" t="inlineStr">
        <is>
          <t>Outdoor condensing unit (heat pump)</t>
        </is>
      </c>
      <c r="C97" s="6" t="inlineStr">
        <is>
          <t>DS-O-18: 5.3 kW nominal, 1.66 kW input, T3 rated, anti-vibration mounts</t>
        </is>
      </c>
      <c r="D97" s="6" t="inlineStr">
        <is>
          <t>No.</t>
        </is>
      </c>
      <c r="E97" s="6" t="n">
        <v>1</v>
      </c>
      <c r="F97" s="7" t="n">
        <v>0</v>
      </c>
      <c r="G97" s="6">
        <f>ROUNDUP(E97*(1+F97/100),0)</f>
        <v/>
      </c>
      <c r="H97" s="6" t="inlineStr">
        <is>
          <t>RF</t>
        </is>
      </c>
      <c r="I97" s="6" t="inlineStr">
        <is>
          <t>Tags: ODU-09</t>
        </is>
      </c>
    </row>
    <row r="98">
      <c r="A98" s="6" t="inlineStr">
        <is>
          <t>A.92</t>
        </is>
      </c>
      <c r="B98" s="6" t="inlineStr">
        <is>
          <t>Outdoor condensing unit (heat pump)</t>
        </is>
      </c>
      <c r="C98" s="6" t="inlineStr">
        <is>
          <t>DS-O-18: 5.3 kW nominal, 1.66 kW input, T3 rated, anti-vibration mounts</t>
        </is>
      </c>
      <c r="D98" s="6" t="inlineStr">
        <is>
          <t>No.</t>
        </is>
      </c>
      <c r="E98" s="6" t="n">
        <v>1</v>
      </c>
      <c r="F98" s="7" t="n">
        <v>0</v>
      </c>
      <c r="G98" s="6">
        <f>ROUNDUP(E98*(1+F98/100),0)</f>
        <v/>
      </c>
      <c r="H98" s="6" t="inlineStr">
        <is>
          <t>RF</t>
        </is>
      </c>
      <c r="I98" s="6" t="inlineStr">
        <is>
          <t>Tags: ODU-10</t>
        </is>
      </c>
    </row>
    <row r="99">
      <c r="A99" s="6" t="inlineStr">
        <is>
          <t>A.93</t>
        </is>
      </c>
      <c r="B99" s="6" t="inlineStr">
        <is>
          <t>Outdoor condensing unit (heat pump)</t>
        </is>
      </c>
      <c r="C99" s="6" t="inlineStr">
        <is>
          <t>DS-O-18: 5.3 kW nominal, 1.66 kW input, T3 rated, anti-vibration mounts</t>
        </is>
      </c>
      <c r="D99" s="6" t="inlineStr">
        <is>
          <t>No.</t>
        </is>
      </c>
      <c r="E99" s="6" t="n">
        <v>1</v>
      </c>
      <c r="F99" s="7" t="n">
        <v>0</v>
      </c>
      <c r="G99" s="6">
        <f>ROUNDUP(E99*(1+F99/100),0)</f>
        <v/>
      </c>
      <c r="H99" s="6" t="inlineStr">
        <is>
          <t>RF</t>
        </is>
      </c>
      <c r="I99" s="6" t="inlineStr">
        <is>
          <t>Tags: ODU-11</t>
        </is>
      </c>
    </row>
    <row r="100">
      <c r="A100" s="6" t="inlineStr">
        <is>
          <t>A.94</t>
        </is>
      </c>
      <c r="B100" s="6" t="inlineStr">
        <is>
          <t>Outdoor condensing unit (heat pump)</t>
        </is>
      </c>
      <c r="C100" s="6" t="inlineStr">
        <is>
          <t>DS-O-18: 5.3 kW nominal, 1.66 kW input, T3 rated, anti-vibration mounts</t>
        </is>
      </c>
      <c r="D100" s="6" t="inlineStr">
        <is>
          <t>No.</t>
        </is>
      </c>
      <c r="E100" s="6" t="n">
        <v>1</v>
      </c>
      <c r="F100" s="7" t="n">
        <v>0</v>
      </c>
      <c r="G100" s="6">
        <f>ROUNDUP(E100*(1+F100/100),0)</f>
        <v/>
      </c>
      <c r="H100" s="6" t="inlineStr">
        <is>
          <t>RF</t>
        </is>
      </c>
      <c r="I100" s="6" t="inlineStr">
        <is>
          <t>Tags: ODU-12</t>
        </is>
      </c>
    </row>
    <row r="101">
      <c r="A101" s="6" t="inlineStr">
        <is>
          <t>A.95</t>
        </is>
      </c>
      <c r="B101" s="6" t="inlineStr">
        <is>
          <t>Outdoor condensing unit (heat pump)</t>
        </is>
      </c>
      <c r="C101" s="6" t="inlineStr">
        <is>
          <t>WS-O-09: 2.6 kW nominal, 0.76 kW input, T3 rated, anti-vibration mounts</t>
        </is>
      </c>
      <c r="D101" s="6" t="inlineStr">
        <is>
          <t>No.</t>
        </is>
      </c>
      <c r="E101" s="6" t="n">
        <v>1</v>
      </c>
      <c r="F101" s="7" t="n">
        <v>0</v>
      </c>
      <c r="G101" s="6">
        <f>ROUNDUP(E101*(1+F101/100),0)</f>
        <v/>
      </c>
      <c r="H101" s="6" t="inlineStr">
        <is>
          <t>FF</t>
        </is>
      </c>
      <c r="I101" s="6" t="inlineStr">
        <is>
          <t>Tags: ODU-13</t>
        </is>
      </c>
    </row>
    <row r="102">
      <c r="A102" s="6" t="inlineStr">
        <is>
          <t>A.96</t>
        </is>
      </c>
      <c r="B102" s="6" t="inlineStr">
        <is>
          <t>Outdoor condensing unit (heat pump)</t>
        </is>
      </c>
      <c r="C102" s="6" t="inlineStr">
        <is>
          <t>WS-O-09: 2.6 kW nominal, 0.76 kW input, T3 rated, anti-vibration mounts</t>
        </is>
      </c>
      <c r="D102" s="6" t="inlineStr">
        <is>
          <t>No.</t>
        </is>
      </c>
      <c r="E102" s="6" t="n">
        <v>1</v>
      </c>
      <c r="F102" s="7" t="n">
        <v>0</v>
      </c>
      <c r="G102" s="6">
        <f>ROUNDUP(E102*(1+F102/100),0)</f>
        <v/>
      </c>
      <c r="H102" s="6" t="inlineStr">
        <is>
          <t>FF</t>
        </is>
      </c>
      <c r="I102" s="6" t="inlineStr">
        <is>
          <t>Tags: ODU-14</t>
        </is>
      </c>
    </row>
    <row r="103">
      <c r="A103" s="6" t="inlineStr">
        <is>
          <t>A.97</t>
        </is>
      </c>
      <c r="B103" s="6" t="inlineStr">
        <is>
          <t>Outdoor condensing unit (heat pump)</t>
        </is>
      </c>
      <c r="C103" s="6" t="inlineStr">
        <is>
          <t>WS-O-09: 2.6 kW nominal, 0.76 kW input, T3 rated, anti-vibration mounts</t>
        </is>
      </c>
      <c r="D103" s="6" t="inlineStr">
        <is>
          <t>No.</t>
        </is>
      </c>
      <c r="E103" s="6" t="n">
        <v>1</v>
      </c>
      <c r="F103" s="7" t="n">
        <v>0</v>
      </c>
      <c r="G103" s="6">
        <f>ROUNDUP(E103*(1+F103/100),0)</f>
        <v/>
      </c>
      <c r="H103" s="6" t="inlineStr">
        <is>
          <t>FF</t>
        </is>
      </c>
      <c r="I103" s="6" t="inlineStr">
        <is>
          <t>Tags: ODU-15</t>
        </is>
      </c>
    </row>
    <row r="104">
      <c r="A104" s="6" t="inlineStr">
        <is>
          <t>A.98</t>
        </is>
      </c>
      <c r="B104" s="6" t="inlineStr">
        <is>
          <t>Outdoor condensing unit (heat pump)</t>
        </is>
      </c>
      <c r="C104" s="6" t="inlineStr">
        <is>
          <t>WS-O-09: 2.6 kW nominal, 0.76 kW input, T3 rated, anti-vibration mounts</t>
        </is>
      </c>
      <c r="D104" s="6" t="inlineStr">
        <is>
          <t>No.</t>
        </is>
      </c>
      <c r="E104" s="6" t="n">
        <v>1</v>
      </c>
      <c r="F104" s="7" t="n">
        <v>0</v>
      </c>
      <c r="G104" s="6">
        <f>ROUNDUP(E104*(1+F104/100),0)</f>
        <v/>
      </c>
      <c r="H104" s="6" t="inlineStr">
        <is>
          <t>FF</t>
        </is>
      </c>
      <c r="I104" s="6" t="inlineStr">
        <is>
          <t>Tags: ODU-16</t>
        </is>
      </c>
    </row>
    <row r="105">
      <c r="A105" s="6" t="inlineStr">
        <is>
          <t>A.99</t>
        </is>
      </c>
      <c r="B105" s="6" t="inlineStr">
        <is>
          <t>Outdoor condensing unit (heat pump)</t>
        </is>
      </c>
      <c r="C105" s="6" t="inlineStr">
        <is>
          <t>WS-O-09: 2.6 kW nominal, 0.76 kW input, T3 rated, anti-vibration mounts</t>
        </is>
      </c>
      <c r="D105" s="6" t="inlineStr">
        <is>
          <t>No.</t>
        </is>
      </c>
      <c r="E105" s="6" t="n">
        <v>1</v>
      </c>
      <c r="F105" s="7" t="n">
        <v>0</v>
      </c>
      <c r="G105" s="6">
        <f>ROUNDUP(E105*(1+F105/100),0)</f>
        <v/>
      </c>
      <c r="H105" s="6" t="inlineStr">
        <is>
          <t>FF</t>
        </is>
      </c>
      <c r="I105" s="6" t="inlineStr">
        <is>
          <t>Tags: ODU-17</t>
        </is>
      </c>
    </row>
    <row r="106">
      <c r="A106" s="6" t="inlineStr">
        <is>
          <t>A.100</t>
        </is>
      </c>
      <c r="B106" s="6" t="inlineStr">
        <is>
          <t>Outdoor condensing unit (heat pump)</t>
        </is>
      </c>
      <c r="C106" s="6" t="inlineStr">
        <is>
          <t>WS-O-09: 2.6 kW nominal, 0.76 kW input, T3 rated, anti-vibration mounts</t>
        </is>
      </c>
      <c r="D106" s="6" t="inlineStr">
        <is>
          <t>No.</t>
        </is>
      </c>
      <c r="E106" s="6" t="n">
        <v>1</v>
      </c>
      <c r="F106" s="7" t="n">
        <v>0</v>
      </c>
      <c r="G106" s="6">
        <f>ROUNDUP(E106*(1+F106/100),0)</f>
        <v/>
      </c>
      <c r="H106" s="6" t="inlineStr">
        <is>
          <t>FF</t>
        </is>
      </c>
      <c r="I106" s="6" t="inlineStr">
        <is>
          <t>Tags: ODU-18</t>
        </is>
      </c>
    </row>
    <row r="107">
      <c r="A107" s="6" t="inlineStr">
        <is>
          <t>A.101</t>
        </is>
      </c>
      <c r="B107" s="6" t="inlineStr">
        <is>
          <t>Outdoor condensing unit (heat pump)</t>
        </is>
      </c>
      <c r="C107" s="6" t="inlineStr">
        <is>
          <t>WS-O-09: 2.6 kW nominal, 0.76 kW input, T3 rated, anti-vibration mounts</t>
        </is>
      </c>
      <c r="D107" s="6" t="inlineStr">
        <is>
          <t>No.</t>
        </is>
      </c>
      <c r="E107" s="6" t="n">
        <v>1</v>
      </c>
      <c r="F107" s="7" t="n">
        <v>0</v>
      </c>
      <c r="G107" s="6">
        <f>ROUNDUP(E107*(1+F107/100),0)</f>
        <v/>
      </c>
      <c r="H107" s="6" t="inlineStr">
        <is>
          <t>FF</t>
        </is>
      </c>
      <c r="I107" s="6" t="inlineStr">
        <is>
          <t>Tags: ODU-19</t>
        </is>
      </c>
    </row>
    <row r="108">
      <c r="A108" s="6" t="inlineStr">
        <is>
          <t>A.102</t>
        </is>
      </c>
      <c r="B108" s="6" t="inlineStr">
        <is>
          <t>Outdoor condensing unit (heat pump)</t>
        </is>
      </c>
      <c r="C108" s="6" t="inlineStr">
        <is>
          <t>WS-O-09: 2.6 kW nominal, 0.76 kW input, T3 rated, anti-vibration mounts</t>
        </is>
      </c>
      <c r="D108" s="6" t="inlineStr">
        <is>
          <t>No.</t>
        </is>
      </c>
      <c r="E108" s="6" t="n">
        <v>1</v>
      </c>
      <c r="F108" s="7" t="n">
        <v>0</v>
      </c>
      <c r="G108" s="6">
        <f>ROUNDUP(E108*(1+F108/100),0)</f>
        <v/>
      </c>
      <c r="H108" s="6" t="inlineStr">
        <is>
          <t>FF</t>
        </is>
      </c>
      <c r="I108" s="6" t="inlineStr">
        <is>
          <t>Tags: ODU-20</t>
        </is>
      </c>
    </row>
    <row r="109">
      <c r="A109" s="6" t="inlineStr">
        <is>
          <t>A.103</t>
        </is>
      </c>
      <c r="B109" s="6" t="inlineStr">
        <is>
          <t>Outdoor condensing unit (heat pump)</t>
        </is>
      </c>
      <c r="C109" s="6" t="inlineStr">
        <is>
          <t>DS-O-18: 5.3 kW nominal, 1.66 kW input, T3 rated, anti-vibration mounts</t>
        </is>
      </c>
      <c r="D109" s="6" t="inlineStr">
        <is>
          <t>No.</t>
        </is>
      </c>
      <c r="E109" s="6" t="n">
        <v>1</v>
      </c>
      <c r="F109" s="7" t="n">
        <v>0</v>
      </c>
      <c r="G109" s="6">
        <f>ROUNDUP(E109*(1+F109/100),0)</f>
        <v/>
      </c>
      <c r="H109" s="6" t="inlineStr">
        <is>
          <t>RF</t>
        </is>
      </c>
      <c r="I109" s="6" t="inlineStr">
        <is>
          <t>Tags: ODU-21</t>
        </is>
      </c>
    </row>
    <row r="110">
      <c r="A110" s="6" t="inlineStr">
        <is>
          <t>A.104</t>
        </is>
      </c>
      <c r="B110" s="6" t="inlineStr">
        <is>
          <t>Outdoor condensing unit (heat pump)</t>
        </is>
      </c>
      <c r="C110" s="6" t="inlineStr">
        <is>
          <t>DS-O-18: 5.3 kW nominal, 1.66 kW input, T3 rated, anti-vibration mounts</t>
        </is>
      </c>
      <c r="D110" s="6" t="inlineStr">
        <is>
          <t>No.</t>
        </is>
      </c>
      <c r="E110" s="6" t="n">
        <v>1</v>
      </c>
      <c r="F110" s="7" t="n">
        <v>0</v>
      </c>
      <c r="G110" s="6">
        <f>ROUNDUP(E110*(1+F110/100),0)</f>
        <v/>
      </c>
      <c r="H110" s="6" t="inlineStr">
        <is>
          <t>RF</t>
        </is>
      </c>
      <c r="I110" s="6" t="inlineStr">
        <is>
          <t>Tags: ODU-22</t>
        </is>
      </c>
    </row>
    <row r="111">
      <c r="A111" s="6" t="inlineStr">
        <is>
          <t>A.105</t>
        </is>
      </c>
      <c r="B111" s="6" t="inlineStr">
        <is>
          <t>Outdoor condensing unit (heat pump)</t>
        </is>
      </c>
      <c r="C111" s="6" t="inlineStr">
        <is>
          <t>DS-O-18: 5.3 kW nominal, 1.66 kW input, T3 rated, anti-vibration mounts</t>
        </is>
      </c>
      <c r="D111" s="6" t="inlineStr">
        <is>
          <t>No.</t>
        </is>
      </c>
      <c r="E111" s="6" t="n">
        <v>1</v>
      </c>
      <c r="F111" s="7" t="n">
        <v>0</v>
      </c>
      <c r="G111" s="6">
        <f>ROUNDUP(E111*(1+F111/100),0)</f>
        <v/>
      </c>
      <c r="H111" s="6" t="inlineStr">
        <is>
          <t>RF</t>
        </is>
      </c>
      <c r="I111" s="6" t="inlineStr">
        <is>
          <t>Tags: ODU-23</t>
        </is>
      </c>
    </row>
    <row r="112">
      <c r="A112" s="6" t="inlineStr">
        <is>
          <t>A.106</t>
        </is>
      </c>
      <c r="B112" s="6" t="inlineStr">
        <is>
          <t>Outdoor condensing unit (heat pump)</t>
        </is>
      </c>
      <c r="C112" s="6" t="inlineStr">
        <is>
          <t>DS-O-18: 5.3 kW nominal, 1.66 kW input, T3 rated, anti-vibration mounts</t>
        </is>
      </c>
      <c r="D112" s="6" t="inlineStr">
        <is>
          <t>No.</t>
        </is>
      </c>
      <c r="E112" s="6" t="n">
        <v>1</v>
      </c>
      <c r="F112" s="7" t="n">
        <v>0</v>
      </c>
      <c r="G112" s="6">
        <f>ROUNDUP(E112*(1+F112/100),0)</f>
        <v/>
      </c>
      <c r="H112" s="6" t="inlineStr">
        <is>
          <t>RF</t>
        </is>
      </c>
      <c r="I112" s="6" t="inlineStr">
        <is>
          <t>Tags: ODU-24</t>
        </is>
      </c>
    </row>
    <row r="113">
      <c r="A113" s="6" t="inlineStr">
        <is>
          <t>A.107</t>
        </is>
      </c>
      <c r="B113" s="6" t="inlineStr">
        <is>
          <t>Outdoor condensing unit (heat pump)</t>
        </is>
      </c>
      <c r="C113" s="6" t="inlineStr">
        <is>
          <t>WS-O-09: 2.6 kW nominal, 0.76 kW input, T3 rated, anti-vibration mounts</t>
        </is>
      </c>
      <c r="D113" s="6" t="inlineStr">
        <is>
          <t>No.</t>
        </is>
      </c>
      <c r="E113" s="6" t="n">
        <v>1</v>
      </c>
      <c r="F113" s="7" t="n">
        <v>0</v>
      </c>
      <c r="G113" s="6">
        <f>ROUNDUP(E113*(1+F113/100),0)</f>
        <v/>
      </c>
      <c r="H113" s="6" t="inlineStr">
        <is>
          <t>SF</t>
        </is>
      </c>
      <c r="I113" s="6" t="inlineStr">
        <is>
          <t>Tags: ODU-25</t>
        </is>
      </c>
    </row>
    <row r="114">
      <c r="A114" s="6" t="inlineStr">
        <is>
          <t>A.108</t>
        </is>
      </c>
      <c r="B114" s="6" t="inlineStr">
        <is>
          <t>Outdoor condensing unit (heat pump)</t>
        </is>
      </c>
      <c r="C114" s="6" t="inlineStr">
        <is>
          <t>WS-O-09: 2.6 kW nominal, 0.76 kW input, T3 rated, anti-vibration mounts</t>
        </is>
      </c>
      <c r="D114" s="6" t="inlineStr">
        <is>
          <t>No.</t>
        </is>
      </c>
      <c r="E114" s="6" t="n">
        <v>1</v>
      </c>
      <c r="F114" s="7" t="n">
        <v>0</v>
      </c>
      <c r="G114" s="6">
        <f>ROUNDUP(E114*(1+F114/100),0)</f>
        <v/>
      </c>
      <c r="H114" s="6" t="inlineStr">
        <is>
          <t>SF</t>
        </is>
      </c>
      <c r="I114" s="6" t="inlineStr">
        <is>
          <t>Tags: ODU-26</t>
        </is>
      </c>
    </row>
    <row r="115">
      <c r="A115" s="6" t="inlineStr">
        <is>
          <t>A.109</t>
        </is>
      </c>
      <c r="B115" s="6" t="inlineStr">
        <is>
          <t>Outdoor condensing unit (heat pump)</t>
        </is>
      </c>
      <c r="C115" s="6" t="inlineStr">
        <is>
          <t>WS-O-09: 2.6 kW nominal, 0.76 kW input, T3 rated, anti-vibration mounts</t>
        </is>
      </c>
      <c r="D115" s="6" t="inlineStr">
        <is>
          <t>No.</t>
        </is>
      </c>
      <c r="E115" s="6" t="n">
        <v>1</v>
      </c>
      <c r="F115" s="7" t="n">
        <v>0</v>
      </c>
      <c r="G115" s="6">
        <f>ROUNDUP(E115*(1+F115/100),0)</f>
        <v/>
      </c>
      <c r="H115" s="6" t="inlineStr">
        <is>
          <t>SF</t>
        </is>
      </c>
      <c r="I115" s="6" t="inlineStr">
        <is>
          <t>Tags: ODU-27</t>
        </is>
      </c>
    </row>
    <row r="116">
      <c r="A116" s="6" t="inlineStr">
        <is>
          <t>A.110</t>
        </is>
      </c>
      <c r="B116" s="6" t="inlineStr">
        <is>
          <t>Outdoor condensing unit (heat pump)</t>
        </is>
      </c>
      <c r="C116" s="6" t="inlineStr">
        <is>
          <t>WS-O-09: 2.6 kW nominal, 0.76 kW input, T3 rated, anti-vibration mounts</t>
        </is>
      </c>
      <c r="D116" s="6" t="inlineStr">
        <is>
          <t>No.</t>
        </is>
      </c>
      <c r="E116" s="6" t="n">
        <v>1</v>
      </c>
      <c r="F116" s="7" t="n">
        <v>0</v>
      </c>
      <c r="G116" s="6">
        <f>ROUNDUP(E116*(1+F116/100),0)</f>
        <v/>
      </c>
      <c r="H116" s="6" t="inlineStr">
        <is>
          <t>SF</t>
        </is>
      </c>
      <c r="I116" s="6" t="inlineStr">
        <is>
          <t>Tags: ODU-28</t>
        </is>
      </c>
    </row>
    <row r="117">
      <c r="A117" s="6" t="inlineStr">
        <is>
          <t>A.111</t>
        </is>
      </c>
      <c r="B117" s="6" t="inlineStr">
        <is>
          <t>Outdoor condensing unit (heat pump)</t>
        </is>
      </c>
      <c r="C117" s="6" t="inlineStr">
        <is>
          <t>WS-O-09: 2.6 kW nominal, 0.76 kW input, T3 rated, anti-vibration mounts</t>
        </is>
      </c>
      <c r="D117" s="6" t="inlineStr">
        <is>
          <t>No.</t>
        </is>
      </c>
      <c r="E117" s="6" t="n">
        <v>1</v>
      </c>
      <c r="F117" s="7" t="n">
        <v>0</v>
      </c>
      <c r="G117" s="6">
        <f>ROUNDUP(E117*(1+F117/100),0)</f>
        <v/>
      </c>
      <c r="H117" s="6" t="inlineStr">
        <is>
          <t>SF</t>
        </is>
      </c>
      <c r="I117" s="6" t="inlineStr">
        <is>
          <t>Tags: ODU-29</t>
        </is>
      </c>
    </row>
    <row r="118">
      <c r="A118" s="6" t="inlineStr">
        <is>
          <t>A.112</t>
        </is>
      </c>
      <c r="B118" s="6" t="inlineStr">
        <is>
          <t>Outdoor condensing unit (heat pump)</t>
        </is>
      </c>
      <c r="C118" s="6" t="inlineStr">
        <is>
          <t>WS-O-09: 2.6 kW nominal, 0.76 kW input, T3 rated, anti-vibration mounts</t>
        </is>
      </c>
      <c r="D118" s="6" t="inlineStr">
        <is>
          <t>No.</t>
        </is>
      </c>
      <c r="E118" s="6" t="n">
        <v>1</v>
      </c>
      <c r="F118" s="7" t="n">
        <v>0</v>
      </c>
      <c r="G118" s="6">
        <f>ROUNDUP(E118*(1+F118/100),0)</f>
        <v/>
      </c>
      <c r="H118" s="6" t="inlineStr">
        <is>
          <t>SF</t>
        </is>
      </c>
      <c r="I118" s="6" t="inlineStr">
        <is>
          <t>Tags: ODU-30</t>
        </is>
      </c>
    </row>
    <row r="119">
      <c r="A119" s="6" t="inlineStr">
        <is>
          <t>A.113</t>
        </is>
      </c>
      <c r="B119" s="6" t="inlineStr">
        <is>
          <t>Outdoor condensing unit (heat pump)</t>
        </is>
      </c>
      <c r="C119" s="6" t="inlineStr">
        <is>
          <t>WS-O-09: 2.6 kW nominal, 0.76 kW input, T3 rated, anti-vibration mounts</t>
        </is>
      </c>
      <c r="D119" s="6" t="inlineStr">
        <is>
          <t>No.</t>
        </is>
      </c>
      <c r="E119" s="6" t="n">
        <v>1</v>
      </c>
      <c r="F119" s="7" t="n">
        <v>0</v>
      </c>
      <c r="G119" s="6">
        <f>ROUNDUP(E119*(1+F119/100),0)</f>
        <v/>
      </c>
      <c r="H119" s="6" t="inlineStr">
        <is>
          <t>SF</t>
        </is>
      </c>
      <c r="I119" s="6" t="inlineStr">
        <is>
          <t>Tags: ODU-31</t>
        </is>
      </c>
    </row>
    <row r="120">
      <c r="A120" s="6" t="inlineStr">
        <is>
          <t>A.114</t>
        </is>
      </c>
      <c r="B120" s="6" t="inlineStr">
        <is>
          <t>Outdoor condensing unit (heat pump)</t>
        </is>
      </c>
      <c r="C120" s="6" t="inlineStr">
        <is>
          <t>WS-O-09: 2.6 kW nominal, 0.76 kW input, T3 rated, anti-vibration mounts</t>
        </is>
      </c>
      <c r="D120" s="6" t="inlineStr">
        <is>
          <t>No.</t>
        </is>
      </c>
      <c r="E120" s="6" t="n">
        <v>1</v>
      </c>
      <c r="F120" s="7" t="n">
        <v>0</v>
      </c>
      <c r="G120" s="6">
        <f>ROUNDUP(E120*(1+F120/100),0)</f>
        <v/>
      </c>
      <c r="H120" s="6" t="inlineStr">
        <is>
          <t>SF</t>
        </is>
      </c>
      <c r="I120" s="6" t="inlineStr">
        <is>
          <t>Tags: ODU-32</t>
        </is>
      </c>
    </row>
    <row r="121">
      <c r="A121" s="6" t="inlineStr">
        <is>
          <t>A.115</t>
        </is>
      </c>
      <c r="B121" s="6" t="inlineStr">
        <is>
          <t>Outdoor condensing unit (heat pump)</t>
        </is>
      </c>
      <c r="C121" s="6" t="inlineStr">
        <is>
          <t>WS-O-09: 2.6 kW nominal, 0.76 kW input, T3 rated, anti-vibration mounts</t>
        </is>
      </c>
      <c r="D121" s="6" t="inlineStr">
        <is>
          <t>No.</t>
        </is>
      </c>
      <c r="E121" s="6" t="n">
        <v>1</v>
      </c>
      <c r="F121" s="7" t="n">
        <v>0</v>
      </c>
      <c r="G121" s="6">
        <f>ROUNDUP(E121*(1+F121/100),0)</f>
        <v/>
      </c>
      <c r="H121" s="6" t="inlineStr">
        <is>
          <t>SF</t>
        </is>
      </c>
      <c r="I121" s="6" t="inlineStr">
        <is>
          <t>Tags: ODU-33</t>
        </is>
      </c>
    </row>
    <row r="122">
      <c r="A122" s="6" t="inlineStr">
        <is>
          <t>A.116</t>
        </is>
      </c>
      <c r="B122" s="6" t="inlineStr">
        <is>
          <t>Outdoor condensing unit (heat pump)</t>
        </is>
      </c>
      <c r="C122" s="6" t="inlineStr">
        <is>
          <t>DS-O-18: 5.3 kW nominal, 1.66 kW input, T3 rated, anti-vibration mounts</t>
        </is>
      </c>
      <c r="D122" s="6" t="inlineStr">
        <is>
          <t>No.</t>
        </is>
      </c>
      <c r="E122" s="6" t="n">
        <v>1</v>
      </c>
      <c r="F122" s="7" t="n">
        <v>0</v>
      </c>
      <c r="G122" s="6">
        <f>ROUNDUP(E122*(1+F122/100),0)</f>
        <v/>
      </c>
      <c r="H122" s="6" t="inlineStr">
        <is>
          <t>RF</t>
        </is>
      </c>
      <c r="I122" s="6" t="inlineStr">
        <is>
          <t>Tags: ODU-34</t>
        </is>
      </c>
    </row>
    <row r="123">
      <c r="A123" s="6" t="inlineStr">
        <is>
          <t>A.117</t>
        </is>
      </c>
      <c r="B123" s="6" t="inlineStr">
        <is>
          <t>Outdoor condensing unit (heat pump)</t>
        </is>
      </c>
      <c r="C123" s="6" t="inlineStr">
        <is>
          <t>DS-O-18: 5.3 kW nominal, 1.66 kW input, T3 rated, anti-vibration mounts</t>
        </is>
      </c>
      <c r="D123" s="6" t="inlineStr">
        <is>
          <t>No.</t>
        </is>
      </c>
      <c r="E123" s="6" t="n">
        <v>1</v>
      </c>
      <c r="F123" s="7" t="n">
        <v>0</v>
      </c>
      <c r="G123" s="6">
        <f>ROUNDUP(E123*(1+F123/100),0)</f>
        <v/>
      </c>
      <c r="H123" s="6" t="inlineStr">
        <is>
          <t>RF</t>
        </is>
      </c>
      <c r="I123" s="6" t="inlineStr">
        <is>
          <t>Tags: ODU-35</t>
        </is>
      </c>
    </row>
    <row r="124">
      <c r="A124" s="6" t="inlineStr">
        <is>
          <t>A.118</t>
        </is>
      </c>
      <c r="B124" s="6" t="inlineStr">
        <is>
          <t>Outdoor condensing unit (heat pump)</t>
        </is>
      </c>
      <c r="C124" s="6" t="inlineStr">
        <is>
          <t>DS-O-18: 5.3 kW nominal, 1.66 kW input, T3 rated, anti-vibration mounts</t>
        </is>
      </c>
      <c r="D124" s="6" t="inlineStr">
        <is>
          <t>No.</t>
        </is>
      </c>
      <c r="E124" s="6" t="n">
        <v>1</v>
      </c>
      <c r="F124" s="7" t="n">
        <v>0</v>
      </c>
      <c r="G124" s="6">
        <f>ROUNDUP(E124*(1+F124/100),0)</f>
        <v/>
      </c>
      <c r="H124" s="6" t="inlineStr">
        <is>
          <t>RF</t>
        </is>
      </c>
      <c r="I124" s="6" t="inlineStr">
        <is>
          <t>Tags: ODU-36</t>
        </is>
      </c>
    </row>
    <row r="125">
      <c r="A125" s="6" t="inlineStr">
        <is>
          <t>A.119</t>
        </is>
      </c>
      <c r="B125" s="6" t="inlineStr">
        <is>
          <t>Outdoor condensing unit (heat pump)</t>
        </is>
      </c>
      <c r="C125" s="6" t="inlineStr">
        <is>
          <t>DS-O-18: 5.3 kW nominal, 1.66 kW input, T3 rated, anti-vibration mounts</t>
        </is>
      </c>
      <c r="D125" s="6" t="inlineStr">
        <is>
          <t>No.</t>
        </is>
      </c>
      <c r="E125" s="6" t="n">
        <v>1</v>
      </c>
      <c r="F125" s="7" t="n">
        <v>0</v>
      </c>
      <c r="G125" s="6">
        <f>ROUNDUP(E125*(1+F125/100),0)</f>
        <v/>
      </c>
      <c r="H125" s="6" t="inlineStr">
        <is>
          <t>RF</t>
        </is>
      </c>
      <c r="I125" s="6" t="inlineStr">
        <is>
          <t>Tags: ODU-37</t>
        </is>
      </c>
    </row>
    <row r="126">
      <c r="A126" s="6" t="inlineStr">
        <is>
          <t>A.120</t>
        </is>
      </c>
      <c r="B126" s="6" t="inlineStr">
        <is>
          <t>Outdoor condensing unit (heat pump)</t>
        </is>
      </c>
      <c r="C126" s="6" t="inlineStr">
        <is>
          <t>WS-O-09: 2.6 kW nominal, 0.76 kW input, T3 rated, anti-vibration mounts</t>
        </is>
      </c>
      <c r="D126" s="6" t="inlineStr">
        <is>
          <t>No.</t>
        </is>
      </c>
      <c r="E126" s="6" t="n">
        <v>1</v>
      </c>
      <c r="F126" s="7" t="n">
        <v>0</v>
      </c>
      <c r="G126" s="6">
        <f>ROUNDUP(E126*(1+F126/100),0)</f>
        <v/>
      </c>
      <c r="H126" s="6" t="inlineStr">
        <is>
          <t>TF</t>
        </is>
      </c>
      <c r="I126" s="6" t="inlineStr">
        <is>
          <t>Tags: ODU-38</t>
        </is>
      </c>
    </row>
    <row r="127">
      <c r="A127" s="6" t="inlineStr">
        <is>
          <t>A.121</t>
        </is>
      </c>
      <c r="B127" s="6" t="inlineStr">
        <is>
          <t>Outdoor condensing unit (heat pump)</t>
        </is>
      </c>
      <c r="C127" s="6" t="inlineStr">
        <is>
          <t>WS-O-09: 2.6 kW nominal, 0.76 kW input, T3 rated, anti-vibration mounts</t>
        </is>
      </c>
      <c r="D127" s="6" t="inlineStr">
        <is>
          <t>No.</t>
        </is>
      </c>
      <c r="E127" s="6" t="n">
        <v>1</v>
      </c>
      <c r="F127" s="7" t="n">
        <v>0</v>
      </c>
      <c r="G127" s="6">
        <f>ROUNDUP(E127*(1+F127/100),0)</f>
        <v/>
      </c>
      <c r="H127" s="6" t="inlineStr">
        <is>
          <t>TF</t>
        </is>
      </c>
      <c r="I127" s="6" t="inlineStr">
        <is>
          <t>Tags: ODU-39</t>
        </is>
      </c>
    </row>
    <row r="128">
      <c r="A128" s="6" t="inlineStr">
        <is>
          <t>A.122</t>
        </is>
      </c>
      <c r="B128" s="6" t="inlineStr">
        <is>
          <t>Outdoor condensing unit (heat pump)</t>
        </is>
      </c>
      <c r="C128" s="6" t="inlineStr">
        <is>
          <t>WS-O-09: 2.6 kW nominal, 0.76 kW input, T3 rated, anti-vibration mounts</t>
        </is>
      </c>
      <c r="D128" s="6" t="inlineStr">
        <is>
          <t>No.</t>
        </is>
      </c>
      <c r="E128" s="6" t="n">
        <v>1</v>
      </c>
      <c r="F128" s="7" t="n">
        <v>0</v>
      </c>
      <c r="G128" s="6">
        <f>ROUNDUP(E128*(1+F128/100),0)</f>
        <v/>
      </c>
      <c r="H128" s="6" t="inlineStr">
        <is>
          <t>TF</t>
        </is>
      </c>
      <c r="I128" s="6" t="inlineStr">
        <is>
          <t>Tags: ODU-40</t>
        </is>
      </c>
    </row>
    <row r="129">
      <c r="A129" s="6" t="inlineStr">
        <is>
          <t>A.123</t>
        </is>
      </c>
      <c r="B129" s="6" t="inlineStr">
        <is>
          <t>Outdoor condensing unit (heat pump)</t>
        </is>
      </c>
      <c r="C129" s="6" t="inlineStr">
        <is>
          <t>WS-O-09: 2.6 kW nominal, 0.76 kW input, T3 rated, anti-vibration mounts</t>
        </is>
      </c>
      <c r="D129" s="6" t="inlineStr">
        <is>
          <t>No.</t>
        </is>
      </c>
      <c r="E129" s="6" t="n">
        <v>1</v>
      </c>
      <c r="F129" s="7" t="n">
        <v>0</v>
      </c>
      <c r="G129" s="6">
        <f>ROUNDUP(E129*(1+F129/100),0)</f>
        <v/>
      </c>
      <c r="H129" s="6" t="inlineStr">
        <is>
          <t>TF</t>
        </is>
      </c>
      <c r="I129" s="6" t="inlineStr">
        <is>
          <t>Tags: ODU-41</t>
        </is>
      </c>
    </row>
    <row r="130">
      <c r="A130" s="6" t="inlineStr">
        <is>
          <t>A.124</t>
        </is>
      </c>
      <c r="B130" s="6" t="inlineStr">
        <is>
          <t>Outdoor condensing unit (heat pump)</t>
        </is>
      </c>
      <c r="C130" s="6" t="inlineStr">
        <is>
          <t>WS-O-09: 2.6 kW nominal, 0.76 kW input, T3 rated, anti-vibration mounts</t>
        </is>
      </c>
      <c r="D130" s="6" t="inlineStr">
        <is>
          <t>No.</t>
        </is>
      </c>
      <c r="E130" s="6" t="n">
        <v>1</v>
      </c>
      <c r="F130" s="7" t="n">
        <v>0</v>
      </c>
      <c r="G130" s="6">
        <f>ROUNDUP(E130*(1+F130/100),0)</f>
        <v/>
      </c>
      <c r="H130" s="6" t="inlineStr">
        <is>
          <t>TF</t>
        </is>
      </c>
      <c r="I130" s="6" t="inlineStr">
        <is>
          <t>Tags: ODU-42</t>
        </is>
      </c>
    </row>
    <row r="131">
      <c r="A131" s="6" t="inlineStr">
        <is>
          <t>A.125</t>
        </is>
      </c>
      <c r="B131" s="6" t="inlineStr">
        <is>
          <t>Outdoor condensing unit (heat pump)</t>
        </is>
      </c>
      <c r="C131" s="6" t="inlineStr">
        <is>
          <t>WS-O-09: 2.6 kW nominal, 0.76 kW input, T3 rated, anti-vibration mounts</t>
        </is>
      </c>
      <c r="D131" s="6" t="inlineStr">
        <is>
          <t>No.</t>
        </is>
      </c>
      <c r="E131" s="6" t="n">
        <v>1</v>
      </c>
      <c r="F131" s="7" t="n">
        <v>0</v>
      </c>
      <c r="G131" s="6">
        <f>ROUNDUP(E131*(1+F131/100),0)</f>
        <v/>
      </c>
      <c r="H131" s="6" t="inlineStr">
        <is>
          <t>TF</t>
        </is>
      </c>
      <c r="I131" s="6" t="inlineStr">
        <is>
          <t>Tags: ODU-43</t>
        </is>
      </c>
    </row>
    <row r="132">
      <c r="A132" s="6" t="inlineStr">
        <is>
          <t>A.126</t>
        </is>
      </c>
      <c r="B132" s="6" t="inlineStr">
        <is>
          <t>Outdoor condensing unit (heat pump)</t>
        </is>
      </c>
      <c r="C132" s="6" t="inlineStr">
        <is>
          <t>WS-O-09: 2.6 kW nominal, 0.76 kW input, T3 rated, anti-vibration mounts</t>
        </is>
      </c>
      <c r="D132" s="6" t="inlineStr">
        <is>
          <t>No.</t>
        </is>
      </c>
      <c r="E132" s="6" t="n">
        <v>1</v>
      </c>
      <c r="F132" s="7" t="n">
        <v>0</v>
      </c>
      <c r="G132" s="6">
        <f>ROUNDUP(E132*(1+F132/100),0)</f>
        <v/>
      </c>
      <c r="H132" s="6" t="inlineStr">
        <is>
          <t>TF</t>
        </is>
      </c>
      <c r="I132" s="6" t="inlineStr">
        <is>
          <t>Tags: ODU-44</t>
        </is>
      </c>
    </row>
    <row r="133">
      <c r="A133" s="6" t="inlineStr">
        <is>
          <t>A.127</t>
        </is>
      </c>
      <c r="B133" s="6" t="inlineStr">
        <is>
          <t>Outdoor condensing unit (heat pump)</t>
        </is>
      </c>
      <c r="C133" s="6" t="inlineStr">
        <is>
          <t>WS-O-09: 2.6 kW nominal, 0.76 kW input, T3 rated, anti-vibration mounts</t>
        </is>
      </c>
      <c r="D133" s="6" t="inlineStr">
        <is>
          <t>No.</t>
        </is>
      </c>
      <c r="E133" s="6" t="n">
        <v>1</v>
      </c>
      <c r="F133" s="7" t="n">
        <v>0</v>
      </c>
      <c r="G133" s="6">
        <f>ROUNDUP(E133*(1+F133/100),0)</f>
        <v/>
      </c>
      <c r="H133" s="6" t="inlineStr">
        <is>
          <t>TF</t>
        </is>
      </c>
      <c r="I133" s="6" t="inlineStr">
        <is>
          <t>Tags: ODU-45</t>
        </is>
      </c>
    </row>
    <row r="134">
      <c r="A134" s="6" t="inlineStr">
        <is>
          <t>A.128</t>
        </is>
      </c>
      <c r="B134" s="6" t="inlineStr">
        <is>
          <t>Outdoor condensing unit (heat pump)</t>
        </is>
      </c>
      <c r="C134" s="6" t="inlineStr">
        <is>
          <t>DS-O-18: 5.3 kW nominal, 1.66 kW input, T3 rated, anti-vibration mounts</t>
        </is>
      </c>
      <c r="D134" s="6" t="inlineStr">
        <is>
          <t>No.</t>
        </is>
      </c>
      <c r="E134" s="6" t="n">
        <v>1</v>
      </c>
      <c r="F134" s="7" t="n">
        <v>0</v>
      </c>
      <c r="G134" s="6">
        <f>ROUNDUP(E134*(1+F134/100),0)</f>
        <v/>
      </c>
      <c r="H134" s="6" t="inlineStr">
        <is>
          <t>RF</t>
        </is>
      </c>
      <c r="I134" s="6" t="inlineStr">
        <is>
          <t>Tags: ODU-46</t>
        </is>
      </c>
    </row>
    <row r="135">
      <c r="A135" s="6" t="inlineStr">
        <is>
          <t>A.129</t>
        </is>
      </c>
      <c r="B135" s="6" t="inlineStr">
        <is>
          <t>Outdoor condensing unit (heat pump)</t>
        </is>
      </c>
      <c r="C135" s="6" t="inlineStr">
        <is>
          <t>DS-O-18: 5.3 kW nominal, 1.66 kW input, T3 rated, anti-vibration mounts</t>
        </is>
      </c>
      <c r="D135" s="6" t="inlineStr">
        <is>
          <t>No.</t>
        </is>
      </c>
      <c r="E135" s="6" t="n">
        <v>1</v>
      </c>
      <c r="F135" s="7" t="n">
        <v>0</v>
      </c>
      <c r="G135" s="6">
        <f>ROUNDUP(E135*(1+F135/100),0)</f>
        <v/>
      </c>
      <c r="H135" s="6" t="inlineStr">
        <is>
          <t>RF</t>
        </is>
      </c>
      <c r="I135" s="6" t="inlineStr">
        <is>
          <t>Tags: ODU-47</t>
        </is>
      </c>
    </row>
    <row r="136">
      <c r="A136" s="6" t="inlineStr">
        <is>
          <t>A.130</t>
        </is>
      </c>
      <c r="B136" s="6" t="inlineStr">
        <is>
          <t>Outdoor condensing unit (heat pump)</t>
        </is>
      </c>
      <c r="C136" s="6" t="inlineStr">
        <is>
          <t>DS-O-18: 5.3 kW nominal, 1.66 kW input, T3 rated, anti-vibration mounts</t>
        </is>
      </c>
      <c r="D136" s="6" t="inlineStr">
        <is>
          <t>No.</t>
        </is>
      </c>
      <c r="E136" s="6" t="n">
        <v>1</v>
      </c>
      <c r="F136" s="7" t="n">
        <v>0</v>
      </c>
      <c r="G136" s="6">
        <f>ROUNDUP(E136*(1+F136/100),0)</f>
        <v/>
      </c>
      <c r="H136" s="6" t="inlineStr">
        <is>
          <t>RF</t>
        </is>
      </c>
      <c r="I136" s="6" t="inlineStr">
        <is>
          <t>Tags: ODU-48</t>
        </is>
      </c>
    </row>
    <row r="137">
      <c r="A137" s="6" t="inlineStr">
        <is>
          <t>A.131</t>
        </is>
      </c>
      <c r="B137" s="6" t="inlineStr">
        <is>
          <t>Outdoor condensing unit (heat pump)</t>
        </is>
      </c>
      <c r="C137" s="6" t="inlineStr">
        <is>
          <t>DS-O-18: 5.3 kW nominal, 1.66 kW input, T3 rated, anti-vibration mounts</t>
        </is>
      </c>
      <c r="D137" s="6" t="inlineStr">
        <is>
          <t>No.</t>
        </is>
      </c>
      <c r="E137" s="6" t="n">
        <v>1</v>
      </c>
      <c r="F137" s="7" t="n">
        <v>0</v>
      </c>
      <c r="G137" s="6">
        <f>ROUNDUP(E137*(1+F137/100),0)</f>
        <v/>
      </c>
      <c r="H137" s="6" t="inlineStr">
        <is>
          <t>RF</t>
        </is>
      </c>
      <c r="I137" s="6" t="inlineStr">
        <is>
          <t>Tags: ODU-49</t>
        </is>
      </c>
    </row>
    <row r="139">
      <c r="A139" s="4" t="inlineStr">
        <is>
          <t>B. GALVANISED STEEL DUCTWORK (SMACNA)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6" t="inlineStr">
        <is>
          <t>B.1</t>
        </is>
      </c>
      <c r="B140" s="6" t="inlineStr">
        <is>
          <t>Galvanised sheet steel rectangular duct incl. fittings, joints, sealant</t>
        </is>
      </c>
      <c r="C140" s="6" t="inlineStr">
        <is>
          <t>24 ga (0.70 mm), low pressure (500 Pa) class, Seal class A</t>
        </is>
      </c>
      <c r="D140" s="6" t="inlineStr">
        <is>
          <t>m²</t>
        </is>
      </c>
      <c r="E140" s="6" t="n">
        <v>7.03</v>
      </c>
      <c r="F140" s="7" t="n">
        <v>10</v>
      </c>
      <c r="G140" s="6">
        <f>ROUND(E140*(1+F140/100),2)</f>
        <v/>
      </c>
      <c r="H140" s="6" t="inlineStr">
        <is>
          <t>FF</t>
        </is>
      </c>
      <c r="I140" s="6" t="inlineStr"/>
    </row>
    <row r="141">
      <c r="A141" s="6" t="inlineStr">
        <is>
          <t>B.2</t>
        </is>
      </c>
      <c r="B141" s="6" t="inlineStr">
        <is>
          <t>Galvanised sheet steel rectangular duct incl. fittings, joints, sealant</t>
        </is>
      </c>
      <c r="C141" s="6" t="inlineStr">
        <is>
          <t>26 ga (0.55 mm), low pressure (500 Pa) class, Seal class A</t>
        </is>
      </c>
      <c r="D141" s="6" t="inlineStr">
        <is>
          <t>m²</t>
        </is>
      </c>
      <c r="E141" s="6" t="n">
        <v>3.64</v>
      </c>
      <c r="F141" s="7" t="n">
        <v>10</v>
      </c>
      <c r="G141" s="6">
        <f>ROUND(E141*(1+F141/100),2)</f>
        <v/>
      </c>
      <c r="H141" s="6" t="inlineStr">
        <is>
          <t>FF</t>
        </is>
      </c>
      <c r="I141" s="6" t="inlineStr"/>
    </row>
    <row r="142">
      <c r="A142" s="6" t="inlineStr">
        <is>
          <t>B.3</t>
        </is>
      </c>
      <c r="B142" s="6" t="inlineStr">
        <is>
          <t>Galvanised sheet steel round spiral duct incl. fittings, joints, sealant</t>
        </is>
      </c>
      <c r="C142" s="6" t="inlineStr">
        <is>
          <t>26 ga (0.55 mm), low pressure (500 Pa) class, Seal class A</t>
        </is>
      </c>
      <c r="D142" s="6" t="inlineStr">
        <is>
          <t>m²</t>
        </is>
      </c>
      <c r="E142" s="6" t="n">
        <v>19.81</v>
      </c>
      <c r="F142" s="7" t="n">
        <v>10</v>
      </c>
      <c r="G142" s="6">
        <f>ROUND(E142*(1+F142/100),2)</f>
        <v/>
      </c>
      <c r="H142" s="6" t="inlineStr">
        <is>
          <t>FF</t>
        </is>
      </c>
      <c r="I142" s="6" t="inlineStr"/>
    </row>
    <row r="143">
      <c r="A143" s="6" t="inlineStr">
        <is>
          <t>B.4</t>
        </is>
      </c>
      <c r="B143" s="6" t="inlineStr">
        <is>
          <t>Galvanised sheet steel rectangular duct incl. fittings, joints, sealant</t>
        </is>
      </c>
      <c r="C143" s="6" t="inlineStr">
        <is>
          <t>24 ga (0.70 mm), low pressure (500 Pa) class, Seal class A</t>
        </is>
      </c>
      <c r="D143" s="6" t="inlineStr">
        <is>
          <t>m²</t>
        </is>
      </c>
      <c r="E143" s="6" t="n">
        <v>7.25</v>
      </c>
      <c r="F143" s="7" t="n">
        <v>10</v>
      </c>
      <c r="G143" s="6">
        <f>ROUND(E143*(1+F143/100),2)</f>
        <v/>
      </c>
      <c r="H143" s="6" t="inlineStr">
        <is>
          <t>GF</t>
        </is>
      </c>
      <c r="I143" s="6" t="inlineStr"/>
    </row>
    <row r="144">
      <c r="A144" s="6" t="inlineStr">
        <is>
          <t>B.5</t>
        </is>
      </c>
      <c r="B144" s="6" t="inlineStr">
        <is>
          <t>Galvanised sheet steel rectangular duct incl. fittings, joints, sealant</t>
        </is>
      </c>
      <c r="C144" s="6" t="inlineStr">
        <is>
          <t>26 ga (0.55 mm), low pressure (500 Pa) class, Seal class A</t>
        </is>
      </c>
      <c r="D144" s="6" t="inlineStr">
        <is>
          <t>m²</t>
        </is>
      </c>
      <c r="E144" s="6" t="n">
        <v>3.63</v>
      </c>
      <c r="F144" s="7" t="n">
        <v>10</v>
      </c>
      <c r="G144" s="6">
        <f>ROUND(E144*(1+F144/100),2)</f>
        <v/>
      </c>
      <c r="H144" s="6" t="inlineStr">
        <is>
          <t>GF</t>
        </is>
      </c>
      <c r="I144" s="6" t="inlineStr"/>
    </row>
    <row r="145">
      <c r="A145" s="6" t="inlineStr">
        <is>
          <t>B.6</t>
        </is>
      </c>
      <c r="B145" s="6" t="inlineStr">
        <is>
          <t>Galvanised sheet steel round spiral duct incl. fittings, joints, sealant</t>
        </is>
      </c>
      <c r="C145" s="6" t="inlineStr">
        <is>
          <t>26 ga (0.55 mm), low pressure (500 Pa) class, Seal class A</t>
        </is>
      </c>
      <c r="D145" s="6" t="inlineStr">
        <is>
          <t>m²</t>
        </is>
      </c>
      <c r="E145" s="6" t="n">
        <v>22.78</v>
      </c>
      <c r="F145" s="7" t="n">
        <v>10</v>
      </c>
      <c r="G145" s="6">
        <f>ROUND(E145*(1+F145/100),2)</f>
        <v/>
      </c>
      <c r="H145" s="6" t="inlineStr">
        <is>
          <t>GF</t>
        </is>
      </c>
      <c r="I145" s="6" t="inlineStr"/>
    </row>
    <row r="146">
      <c r="A146" s="6" t="inlineStr">
        <is>
          <t>B.7</t>
        </is>
      </c>
      <c r="B146" s="6" t="inlineStr">
        <is>
          <t>Galvanised sheet steel rectangular duct incl. fittings, joints, sealant</t>
        </is>
      </c>
      <c r="C146" s="6" t="inlineStr">
        <is>
          <t>24 ga (0.70 mm), low pressure (500 Pa) class, Seal class A</t>
        </is>
      </c>
      <c r="D146" s="6" t="inlineStr">
        <is>
          <t>m²</t>
        </is>
      </c>
      <c r="E146" s="6" t="n">
        <v>7.63</v>
      </c>
      <c r="F146" s="7" t="n">
        <v>10</v>
      </c>
      <c r="G146" s="6">
        <f>ROUND(E146*(1+F146/100),2)</f>
        <v/>
      </c>
      <c r="H146" s="6" t="inlineStr">
        <is>
          <t>SF</t>
        </is>
      </c>
      <c r="I146" s="6" t="inlineStr"/>
    </row>
    <row r="147">
      <c r="A147" s="6" t="inlineStr">
        <is>
          <t>B.8</t>
        </is>
      </c>
      <c r="B147" s="6" t="inlineStr">
        <is>
          <t>Galvanised sheet steel rectangular duct incl. fittings, joints, sealant</t>
        </is>
      </c>
      <c r="C147" s="6" t="inlineStr">
        <is>
          <t>26 ga (0.55 mm), low pressure (500 Pa) class, Seal class A</t>
        </is>
      </c>
      <c r="D147" s="6" t="inlineStr">
        <is>
          <t>m²</t>
        </is>
      </c>
      <c r="E147" s="6" t="n">
        <v>3.72</v>
      </c>
      <c r="F147" s="7" t="n">
        <v>10</v>
      </c>
      <c r="G147" s="6">
        <f>ROUND(E147*(1+F147/100),2)</f>
        <v/>
      </c>
      <c r="H147" s="6" t="inlineStr">
        <is>
          <t>SF</t>
        </is>
      </c>
      <c r="I147" s="6" t="inlineStr"/>
    </row>
    <row r="148">
      <c r="A148" s="6" t="inlineStr">
        <is>
          <t>B.9</t>
        </is>
      </c>
      <c r="B148" s="6" t="inlineStr">
        <is>
          <t>Galvanised sheet steel round spiral duct incl. fittings, joints, sealant</t>
        </is>
      </c>
      <c r="C148" s="6" t="inlineStr">
        <is>
          <t>26 ga (0.55 mm), low pressure (500 Pa) class, Seal class A</t>
        </is>
      </c>
      <c r="D148" s="6" t="inlineStr">
        <is>
          <t>m²</t>
        </is>
      </c>
      <c r="E148" s="6" t="n">
        <v>23.47</v>
      </c>
      <c r="F148" s="7" t="n">
        <v>10</v>
      </c>
      <c r="G148" s="6">
        <f>ROUND(E148*(1+F148/100),2)</f>
        <v/>
      </c>
      <c r="H148" s="6" t="inlineStr">
        <is>
          <t>SF</t>
        </is>
      </c>
      <c r="I148" s="6" t="inlineStr"/>
    </row>
    <row r="149">
      <c r="A149" s="6" t="inlineStr">
        <is>
          <t>B.10</t>
        </is>
      </c>
      <c r="B149" s="6" t="inlineStr">
        <is>
          <t>Galvanised sheet steel rectangular duct incl. fittings, joints, sealant</t>
        </is>
      </c>
      <c r="C149" s="6" t="inlineStr">
        <is>
          <t>24 ga (0.70 mm), low pressure (500 Pa) class, Seal class A</t>
        </is>
      </c>
      <c r="D149" s="6" t="inlineStr">
        <is>
          <t>m²</t>
        </is>
      </c>
      <c r="E149" s="6" t="n">
        <v>6.24</v>
      </c>
      <c r="F149" s="7" t="n">
        <v>10</v>
      </c>
      <c r="G149" s="6">
        <f>ROUND(E149*(1+F149/100),2)</f>
        <v/>
      </c>
      <c r="H149" s="6" t="inlineStr">
        <is>
          <t>TF</t>
        </is>
      </c>
      <c r="I149" s="6" t="inlineStr"/>
    </row>
    <row r="150">
      <c r="A150" s="6" t="inlineStr">
        <is>
          <t>B.11</t>
        </is>
      </c>
      <c r="B150" s="6" t="inlineStr">
        <is>
          <t>Galvanised sheet steel rectangular duct incl. fittings, joints, sealant</t>
        </is>
      </c>
      <c r="C150" s="6" t="inlineStr">
        <is>
          <t>26 ga (0.55 mm), low pressure (500 Pa) class, Seal class A</t>
        </is>
      </c>
      <c r="D150" s="6" t="inlineStr">
        <is>
          <t>m²</t>
        </is>
      </c>
      <c r="E150" s="6" t="n">
        <v>5.03</v>
      </c>
      <c r="F150" s="7" t="n">
        <v>10</v>
      </c>
      <c r="G150" s="6">
        <f>ROUND(E150*(1+F150/100),2)</f>
        <v/>
      </c>
      <c r="H150" s="6" t="inlineStr">
        <is>
          <t>TF</t>
        </is>
      </c>
      <c r="I150" s="6" t="inlineStr"/>
    </row>
    <row r="151">
      <c r="A151" s="6" t="inlineStr">
        <is>
          <t>B.12</t>
        </is>
      </c>
      <c r="B151" s="6" t="inlineStr">
        <is>
          <t>Galvanised sheet steel round spiral duct incl. fittings, joints, sealant</t>
        </is>
      </c>
      <c r="C151" s="6" t="inlineStr">
        <is>
          <t>26 ga (0.55 mm), low pressure (500 Pa) class, Seal class A</t>
        </is>
      </c>
      <c r="D151" s="6" t="inlineStr">
        <is>
          <t>m²</t>
        </is>
      </c>
      <c r="E151" s="6" t="n">
        <v>22.65</v>
      </c>
      <c r="F151" s="7" t="n">
        <v>10</v>
      </c>
      <c r="G151" s="6">
        <f>ROUND(E151*(1+F151/100),2)</f>
        <v/>
      </c>
      <c r="H151" s="6" t="inlineStr">
        <is>
          <t>TF</t>
        </is>
      </c>
      <c r="I151" s="6" t="inlineStr"/>
    </row>
    <row r="153">
      <c r="A153" s="4" t="inlineStr">
        <is>
          <t>D. AIR TERMINALS AND LOUVERS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6" t="inlineStr">
        <is>
          <t>D.1</t>
        </is>
      </c>
      <c r="B154" s="6" t="inlineStr">
        <is>
          <t>4-way square ceiling diffuser with OBD and plenum box</t>
        </is>
      </c>
      <c r="C154" s="6" t="inlineStr">
        <is>
          <t>SD-250 neck Ø250, face 600x600</t>
        </is>
      </c>
      <c r="D154" s="6" t="inlineStr">
        <is>
          <t>No.</t>
        </is>
      </c>
      <c r="E154" s="6" t="n">
        <v>8</v>
      </c>
      <c r="F154" s="7" t="n">
        <v>0</v>
      </c>
      <c r="G154" s="6">
        <f>ROUNDUP(E154*(1+F154/100),0)</f>
        <v/>
      </c>
      <c r="H154" s="6" t="inlineStr">
        <is>
          <t>FF</t>
        </is>
      </c>
      <c r="I154" s="6" t="inlineStr">
        <is>
          <t>Tags: SD-FF-01, SD-FF-02, SD-FF-03, SD-FF-04, SD-FF-05, SD-FF-06, SD-FF-07, SD-FF-08</t>
        </is>
      </c>
    </row>
    <row r="155">
      <c r="A155" s="6" t="inlineStr">
        <is>
          <t>D.2</t>
        </is>
      </c>
      <c r="B155" s="6" t="inlineStr">
        <is>
          <t>4-way square ceiling diffuser with OBD and plenum box</t>
        </is>
      </c>
      <c r="C155" s="6" t="inlineStr">
        <is>
          <t>SD-250 neck Ø250, face 600x600</t>
        </is>
      </c>
      <c r="D155" s="6" t="inlineStr">
        <is>
          <t>No.</t>
        </is>
      </c>
      <c r="E155" s="6" t="n">
        <v>8</v>
      </c>
      <c r="F155" s="7" t="n">
        <v>0</v>
      </c>
      <c r="G155" s="6">
        <f>ROUNDUP(E155*(1+F155/100),0)</f>
        <v/>
      </c>
      <c r="H155" s="6" t="inlineStr">
        <is>
          <t>GF</t>
        </is>
      </c>
      <c r="I155" s="6" t="inlineStr">
        <is>
          <t>Tags: SD-GF-01, SD-GF-02, SD-GF-03, SD-GF-04, SD-GF-05, SD-GF-06, SD-GF-07, SD-GF-08</t>
        </is>
      </c>
    </row>
    <row r="156">
      <c r="A156" s="6" t="inlineStr">
        <is>
          <t>D.3</t>
        </is>
      </c>
      <c r="B156" s="6" t="inlineStr">
        <is>
          <t>4-way square ceiling diffuser with OBD and plenum box</t>
        </is>
      </c>
      <c r="C156" s="6" t="inlineStr">
        <is>
          <t>SD-250 neck Ø250, face 600x600</t>
        </is>
      </c>
      <c r="D156" s="6" t="inlineStr">
        <is>
          <t>No.</t>
        </is>
      </c>
      <c r="E156" s="6" t="n">
        <v>8</v>
      </c>
      <c r="F156" s="7" t="n">
        <v>0</v>
      </c>
      <c r="G156" s="6">
        <f>ROUNDUP(E156*(1+F156/100),0)</f>
        <v/>
      </c>
      <c r="H156" s="6" t="inlineStr">
        <is>
          <t>SF</t>
        </is>
      </c>
      <c r="I156" s="6" t="inlineStr">
        <is>
          <t>Tags: SD-SF-01, SD-SF-02, SD-SF-03, SD-SF-04, SD-SF-05, SD-SF-06, SD-SF-07, SD-SF-08</t>
        </is>
      </c>
    </row>
    <row r="157">
      <c r="A157" s="6" t="inlineStr">
        <is>
          <t>D.4</t>
        </is>
      </c>
      <c r="B157" s="6" t="inlineStr">
        <is>
          <t>4-way square ceiling diffuser with OBD and plenum box</t>
        </is>
      </c>
      <c r="C157" s="6" t="inlineStr">
        <is>
          <t>SD-250 neck Ø250, face 600x600</t>
        </is>
      </c>
      <c r="D157" s="6" t="inlineStr">
        <is>
          <t>No.</t>
        </is>
      </c>
      <c r="E157" s="6" t="n">
        <v>8</v>
      </c>
      <c r="F157" s="7" t="n">
        <v>0</v>
      </c>
      <c r="G157" s="6">
        <f>ROUNDUP(E157*(1+F157/100),0)</f>
        <v/>
      </c>
      <c r="H157" s="6" t="inlineStr">
        <is>
          <t>TF</t>
        </is>
      </c>
      <c r="I157" s="6" t="inlineStr">
        <is>
          <t>Tags: SD-TF-01, SD-TF-02, SD-TF-03, SD-TF-04, SD-TF-05, SD-TF-06, SD-TF-07, SD-TF-08</t>
        </is>
      </c>
    </row>
    <row r="158">
      <c r="A158" s="6" t="inlineStr">
        <is>
          <t>D.5</t>
        </is>
      </c>
      <c r="B158" s="6" t="inlineStr">
        <is>
          <t>Exhaust grille</t>
        </is>
      </c>
      <c r="C158" s="6" t="inlineStr">
        <is>
          <t>150x150, aluminium, eggcrate</t>
        </is>
      </c>
      <c r="D158" s="6" t="inlineStr">
        <is>
          <t>No.</t>
        </is>
      </c>
      <c r="E158" s="6" t="n">
        <v>8</v>
      </c>
      <c r="F158" s="7" t="n">
        <v>0</v>
      </c>
      <c r="G158" s="6">
        <f>ROUNDUP(E158*(1+F158/100),0)</f>
        <v/>
      </c>
      <c r="H158" s="6" t="inlineStr">
        <is>
          <t>FF</t>
        </is>
      </c>
      <c r="I158" s="6" t="inlineStr">
        <is>
          <t>Tags: EG-FF-02, EG-FF-03, EG-FF-04, EG-FF-05, EG-FF-08, EG-FF-09, EG-FF-10, EG-FF-11</t>
        </is>
      </c>
    </row>
    <row r="159">
      <c r="A159" s="6" t="inlineStr">
        <is>
          <t>D.6</t>
        </is>
      </c>
      <c r="B159" s="6" t="inlineStr">
        <is>
          <t>Exhaust grille</t>
        </is>
      </c>
      <c r="C159" s="6" t="inlineStr">
        <is>
          <t>150x150, aluminium, eggcrate</t>
        </is>
      </c>
      <c r="D159" s="6" t="inlineStr">
        <is>
          <t>No.</t>
        </is>
      </c>
      <c r="E159" s="6" t="n">
        <v>11</v>
      </c>
      <c r="F159" s="7" t="n">
        <v>0</v>
      </c>
      <c r="G159" s="6">
        <f>ROUNDUP(E159*(1+F159/100),0)</f>
        <v/>
      </c>
      <c r="H159" s="6" t="inlineStr">
        <is>
          <t>GF</t>
        </is>
      </c>
      <c r="I159" s="6" t="inlineStr">
        <is>
          <t>Tags: EG-GF-02, EG-GF-03, EG-GF-04, EG-GF-05, EG-GF-07, EG-GF-08, EG-GF-09, EG-GF-10, EG-GF-12, EG-GF-13, EG-GF-14</t>
        </is>
      </c>
    </row>
    <row r="160">
      <c r="A160" s="6" t="inlineStr">
        <is>
          <t>D.7</t>
        </is>
      </c>
      <c r="B160" s="6" t="inlineStr">
        <is>
          <t>Exhaust grille</t>
        </is>
      </c>
      <c r="C160" s="6" t="inlineStr">
        <is>
          <t>150x150, aluminium, eggcrate</t>
        </is>
      </c>
      <c r="D160" s="6" t="inlineStr">
        <is>
          <t>No.</t>
        </is>
      </c>
      <c r="E160" s="6" t="n">
        <v>8</v>
      </c>
      <c r="F160" s="7" t="n">
        <v>0</v>
      </c>
      <c r="G160" s="6">
        <f>ROUNDUP(E160*(1+F160/100),0)</f>
        <v/>
      </c>
      <c r="H160" s="6" t="inlineStr">
        <is>
          <t>SF</t>
        </is>
      </c>
      <c r="I160" s="6" t="inlineStr">
        <is>
          <t>Tags: EG-SF-02, EG-SF-03, EG-SF-06, EG-SF-07, EG-SF-08, EG-SF-09, EG-SF-11, EG-SF-12</t>
        </is>
      </c>
    </row>
    <row r="161">
      <c r="A161" s="6" t="inlineStr">
        <is>
          <t>D.8</t>
        </is>
      </c>
      <c r="B161" s="6" t="inlineStr">
        <is>
          <t>Exhaust grille</t>
        </is>
      </c>
      <c r="C161" s="6" t="inlineStr">
        <is>
          <t>150x150, aluminium, eggcrate</t>
        </is>
      </c>
      <c r="D161" s="6" t="inlineStr">
        <is>
          <t>No.</t>
        </is>
      </c>
      <c r="E161" s="6" t="n">
        <v>8</v>
      </c>
      <c r="F161" s="7" t="n">
        <v>0</v>
      </c>
      <c r="G161" s="6">
        <f>ROUNDUP(E161*(1+F161/100),0)</f>
        <v/>
      </c>
      <c r="H161" s="6" t="inlineStr">
        <is>
          <t>TF</t>
        </is>
      </c>
      <c r="I161" s="6" t="inlineStr">
        <is>
          <t>Tags: EG-TF-02, EG-TF-03, EG-TF-05, EG-TF-06, EG-TF-07, EG-TF-08, EG-TF-10, EG-TF-11</t>
        </is>
      </c>
    </row>
    <row r="162">
      <c r="A162" s="6" t="inlineStr">
        <is>
          <t>D.9</t>
        </is>
      </c>
      <c r="B162" s="6" t="inlineStr">
        <is>
          <t>Exhaust grille</t>
        </is>
      </c>
      <c r="C162" s="6" t="inlineStr">
        <is>
          <t>200x200, aluminium, eggcrate</t>
        </is>
      </c>
      <c r="D162" s="6" t="inlineStr">
        <is>
          <t>No.</t>
        </is>
      </c>
      <c r="E162" s="6" t="n">
        <v>4</v>
      </c>
      <c r="F162" s="7" t="n">
        <v>0</v>
      </c>
      <c r="G162" s="6">
        <f>ROUNDUP(E162*(1+F162/100),0)</f>
        <v/>
      </c>
      <c r="H162" s="6" t="inlineStr">
        <is>
          <t>FF</t>
        </is>
      </c>
      <c r="I162" s="6" t="inlineStr">
        <is>
          <t>Tags: EG-FF-01, EG-FF-06, EG-FF-07, EG-FF-12</t>
        </is>
      </c>
    </row>
    <row r="163">
      <c r="A163" s="6" t="inlineStr">
        <is>
          <t>D.10</t>
        </is>
      </c>
      <c r="B163" s="6" t="inlineStr">
        <is>
          <t>Exhaust grille</t>
        </is>
      </c>
      <c r="C163" s="6" t="inlineStr">
        <is>
          <t>200x200, aluminium, eggcrate</t>
        </is>
      </c>
      <c r="D163" s="6" t="inlineStr">
        <is>
          <t>No.</t>
        </is>
      </c>
      <c r="E163" s="6" t="n">
        <v>4</v>
      </c>
      <c r="F163" s="7" t="n">
        <v>0</v>
      </c>
      <c r="G163" s="6">
        <f>ROUNDUP(E163*(1+F163/100),0)</f>
        <v/>
      </c>
      <c r="H163" s="6" t="inlineStr">
        <is>
          <t>GF</t>
        </is>
      </c>
      <c r="I163" s="6" t="inlineStr">
        <is>
          <t>Tags: EG-GF-01, EG-GF-06, EG-GF-11, EG-GF-15</t>
        </is>
      </c>
    </row>
    <row r="164">
      <c r="A164" s="6" t="inlineStr">
        <is>
          <t>D.11</t>
        </is>
      </c>
      <c r="B164" s="6" t="inlineStr">
        <is>
          <t>Exhaust grille</t>
        </is>
      </c>
      <c r="C164" s="6" t="inlineStr">
        <is>
          <t>200x200, aluminium, eggcrate</t>
        </is>
      </c>
      <c r="D164" s="6" t="inlineStr">
        <is>
          <t>No.</t>
        </is>
      </c>
      <c r="E164" s="6" t="n">
        <v>5</v>
      </c>
      <c r="F164" s="7" t="n">
        <v>0</v>
      </c>
      <c r="G164" s="6">
        <f>ROUNDUP(E164*(1+F164/100),0)</f>
        <v/>
      </c>
      <c r="H164" s="6" t="inlineStr">
        <is>
          <t>SF</t>
        </is>
      </c>
      <c r="I164" s="6" t="inlineStr">
        <is>
          <t>Tags: EG-SF-01, EG-SF-04, EG-SF-05, EG-SF-10, EG-SF-13</t>
        </is>
      </c>
    </row>
    <row r="165">
      <c r="A165" s="6" t="inlineStr">
        <is>
          <t>D.12</t>
        </is>
      </c>
      <c r="B165" s="6" t="inlineStr">
        <is>
          <t>Exhaust grille</t>
        </is>
      </c>
      <c r="C165" s="6" t="inlineStr">
        <is>
          <t>200x200, aluminium, eggcrate</t>
        </is>
      </c>
      <c r="D165" s="6" t="inlineStr">
        <is>
          <t>No.</t>
        </is>
      </c>
      <c r="E165" s="6" t="n">
        <v>4</v>
      </c>
      <c r="F165" s="7" t="n">
        <v>0</v>
      </c>
      <c r="G165" s="6">
        <f>ROUNDUP(E165*(1+F165/100),0)</f>
        <v/>
      </c>
      <c r="H165" s="6" t="inlineStr">
        <is>
          <t>TF</t>
        </is>
      </c>
      <c r="I165" s="6" t="inlineStr">
        <is>
          <t>Tags: EG-TF-01, EG-TF-04, EG-TF-09, EG-TF-12</t>
        </is>
      </c>
    </row>
    <row r="166">
      <c r="A166" s="6" t="inlineStr">
        <is>
          <t>D.13</t>
        </is>
      </c>
      <c r="B166" s="6" t="inlineStr">
        <is>
          <t>Exhaust wall louver / cowl with backdraft shutter</t>
        </is>
      </c>
      <c r="C166" s="6" t="inlineStr">
        <is>
          <t>200x200, aluminium</t>
        </is>
      </c>
      <c r="D166" s="6" t="inlineStr">
        <is>
          <t>No.</t>
        </is>
      </c>
      <c r="E166" s="6" t="n">
        <v>8</v>
      </c>
      <c r="F166" s="7" t="n">
        <v>0</v>
      </c>
      <c r="G166" s="6">
        <f>ROUNDUP(E166*(1+F166/100),0)</f>
        <v/>
      </c>
      <c r="H166" s="6" t="inlineStr">
        <is>
          <t>FF</t>
        </is>
      </c>
      <c r="I166" s="6" t="inlineStr">
        <is>
          <t>Tags: EAL-FF-02, EAL-FF-03, EAL-FF-04, EAL-FF-05, EAL-FF-08, EAL-FF-09, EAL-FF-10, EAL-FF-11</t>
        </is>
      </c>
    </row>
    <row r="167">
      <c r="A167" s="6" t="inlineStr">
        <is>
          <t>D.14</t>
        </is>
      </c>
      <c r="B167" s="6" t="inlineStr">
        <is>
          <t>Exhaust wall louver / cowl with backdraft shutter</t>
        </is>
      </c>
      <c r="C167" s="6" t="inlineStr">
        <is>
          <t>200x200, aluminium</t>
        </is>
      </c>
      <c r="D167" s="6" t="inlineStr">
        <is>
          <t>No.</t>
        </is>
      </c>
      <c r="E167" s="6" t="n">
        <v>11</v>
      </c>
      <c r="F167" s="7" t="n">
        <v>0</v>
      </c>
      <c r="G167" s="6">
        <f>ROUNDUP(E167*(1+F167/100),0)</f>
        <v/>
      </c>
      <c r="H167" s="6" t="inlineStr">
        <is>
          <t>GF</t>
        </is>
      </c>
      <c r="I167" s="6" t="inlineStr">
        <is>
          <t>Tags: EAL-GF-02, EAL-GF-03, EAL-GF-04, EAL-GF-05, EAL-GF-07, EAL-GF-08, EAL-GF-09, EAL-GF-10, EAL-GF-12, EAL-GF-13, EAL-GF-14</t>
        </is>
      </c>
    </row>
    <row r="168">
      <c r="A168" s="6" t="inlineStr">
        <is>
          <t>D.15</t>
        </is>
      </c>
      <c r="B168" s="6" t="inlineStr">
        <is>
          <t>Exhaust wall louver / cowl with backdraft shutter</t>
        </is>
      </c>
      <c r="C168" s="6" t="inlineStr">
        <is>
          <t>200x200, aluminium</t>
        </is>
      </c>
      <c r="D168" s="6" t="inlineStr">
        <is>
          <t>No.</t>
        </is>
      </c>
      <c r="E168" s="6" t="n">
        <v>8</v>
      </c>
      <c r="F168" s="7" t="n">
        <v>0</v>
      </c>
      <c r="G168" s="6">
        <f>ROUNDUP(E168*(1+F168/100),0)</f>
        <v/>
      </c>
      <c r="H168" s="6" t="inlineStr">
        <is>
          <t>SF</t>
        </is>
      </c>
      <c r="I168" s="6" t="inlineStr">
        <is>
          <t>Tags: EAL-SF-02, EAL-SF-03, EAL-SF-06, EAL-SF-07, EAL-SF-08, EAL-SF-09, EAL-SF-11, EAL-SF-12</t>
        </is>
      </c>
    </row>
    <row r="169">
      <c r="A169" s="6" t="inlineStr">
        <is>
          <t>D.16</t>
        </is>
      </c>
      <c r="B169" s="6" t="inlineStr">
        <is>
          <t>Exhaust wall louver / cowl with backdraft shutter</t>
        </is>
      </c>
      <c r="C169" s="6" t="inlineStr">
        <is>
          <t>200x200, aluminium</t>
        </is>
      </c>
      <c r="D169" s="6" t="inlineStr">
        <is>
          <t>No.</t>
        </is>
      </c>
      <c r="E169" s="6" t="n">
        <v>8</v>
      </c>
      <c r="F169" s="7" t="n">
        <v>0</v>
      </c>
      <c r="G169" s="6">
        <f>ROUNDUP(E169*(1+F169/100),0)</f>
        <v/>
      </c>
      <c r="H169" s="6" t="inlineStr">
        <is>
          <t>TF</t>
        </is>
      </c>
      <c r="I169" s="6" t="inlineStr">
        <is>
          <t>Tags: EAL-TF-02, EAL-TF-03, EAL-TF-05, EAL-TF-06, EAL-TF-07, EAL-TF-08, EAL-TF-10, EAL-TF-11</t>
        </is>
      </c>
    </row>
    <row r="170">
      <c r="A170" s="6" t="inlineStr">
        <is>
          <t>D.17</t>
        </is>
      </c>
      <c r="B170" s="6" t="inlineStr">
        <is>
          <t>Exhaust wall louver / cowl with backdraft shutter</t>
        </is>
      </c>
      <c r="C170" s="6" t="inlineStr">
        <is>
          <t>300x200, aluminium</t>
        </is>
      </c>
      <c r="D170" s="6" t="inlineStr">
        <is>
          <t>No.</t>
        </is>
      </c>
      <c r="E170" s="6" t="n">
        <v>4</v>
      </c>
      <c r="F170" s="7" t="n">
        <v>0</v>
      </c>
      <c r="G170" s="6">
        <f>ROUNDUP(E170*(1+F170/100),0)</f>
        <v/>
      </c>
      <c r="H170" s="6" t="inlineStr">
        <is>
          <t>FF</t>
        </is>
      </c>
      <c r="I170" s="6" t="inlineStr">
        <is>
          <t>Tags: EAL-FF-01, EAL-FF-06, EAL-FF-07, EAL-FF-12</t>
        </is>
      </c>
    </row>
    <row r="171">
      <c r="A171" s="6" t="inlineStr">
        <is>
          <t>D.18</t>
        </is>
      </c>
      <c r="B171" s="6" t="inlineStr">
        <is>
          <t>Exhaust wall louver / cowl with backdraft shutter</t>
        </is>
      </c>
      <c r="C171" s="6" t="inlineStr">
        <is>
          <t>300x200, aluminium</t>
        </is>
      </c>
      <c r="D171" s="6" t="inlineStr">
        <is>
          <t>No.</t>
        </is>
      </c>
      <c r="E171" s="6" t="n">
        <v>4</v>
      </c>
      <c r="F171" s="7" t="n">
        <v>0</v>
      </c>
      <c r="G171" s="6">
        <f>ROUNDUP(E171*(1+F171/100),0)</f>
        <v/>
      </c>
      <c r="H171" s="6" t="inlineStr">
        <is>
          <t>GF</t>
        </is>
      </c>
      <c r="I171" s="6" t="inlineStr">
        <is>
          <t>Tags: EAL-GF-01, EAL-GF-06, EAL-GF-11, EAL-GF-15</t>
        </is>
      </c>
    </row>
    <row r="172">
      <c r="A172" s="6" t="inlineStr">
        <is>
          <t>D.19</t>
        </is>
      </c>
      <c r="B172" s="6" t="inlineStr">
        <is>
          <t>Exhaust wall louver / cowl with backdraft shutter</t>
        </is>
      </c>
      <c r="C172" s="6" t="inlineStr">
        <is>
          <t>300x200, aluminium</t>
        </is>
      </c>
      <c r="D172" s="6" t="inlineStr">
        <is>
          <t>No.</t>
        </is>
      </c>
      <c r="E172" s="6" t="n">
        <v>5</v>
      </c>
      <c r="F172" s="7" t="n">
        <v>0</v>
      </c>
      <c r="G172" s="6">
        <f>ROUNDUP(E172*(1+F172/100),0)</f>
        <v/>
      </c>
      <c r="H172" s="6" t="inlineStr">
        <is>
          <t>SF</t>
        </is>
      </c>
      <c r="I172" s="6" t="inlineStr">
        <is>
          <t>Tags: EAL-SF-01, EAL-SF-04, EAL-SF-05, EAL-SF-10, EAL-SF-13</t>
        </is>
      </c>
    </row>
    <row r="173">
      <c r="A173" s="6" t="inlineStr">
        <is>
          <t>D.20</t>
        </is>
      </c>
      <c r="B173" s="6" t="inlineStr">
        <is>
          <t>Exhaust wall louver / cowl with backdraft shutter</t>
        </is>
      </c>
      <c r="C173" s="6" t="inlineStr">
        <is>
          <t>300x200, aluminium</t>
        </is>
      </c>
      <c r="D173" s="6" t="inlineStr">
        <is>
          <t>No.</t>
        </is>
      </c>
      <c r="E173" s="6" t="n">
        <v>4</v>
      </c>
      <c r="F173" s="7" t="n">
        <v>0</v>
      </c>
      <c r="G173" s="6">
        <f>ROUNDUP(E173*(1+F173/100),0)</f>
        <v/>
      </c>
      <c r="H173" s="6" t="inlineStr">
        <is>
          <t>TF</t>
        </is>
      </c>
      <c r="I173" s="6" t="inlineStr">
        <is>
          <t>Tags: EAL-TF-01, EAL-TF-04, EAL-TF-09, EAL-TF-12</t>
        </is>
      </c>
    </row>
    <row r="174">
      <c r="A174" s="6" t="inlineStr">
        <is>
          <t>D.21</t>
        </is>
      </c>
      <c r="B174" s="6" t="inlineStr">
        <is>
          <t>Fresh air louver with bird screen and sand trap</t>
        </is>
      </c>
      <c r="C174" s="6" t="inlineStr">
        <is>
          <t>200x200, aluminium</t>
        </is>
      </c>
      <c r="D174" s="6" t="inlineStr">
        <is>
          <t>No.</t>
        </is>
      </c>
      <c r="E174" s="6" t="n">
        <v>4</v>
      </c>
      <c r="F174" s="7" t="n">
        <v>0</v>
      </c>
      <c r="G174" s="6">
        <f>ROUNDUP(E174*(1+F174/100),0)</f>
        <v/>
      </c>
      <c r="H174" s="6" t="inlineStr">
        <is>
          <t>FF</t>
        </is>
      </c>
      <c r="I174" s="6" t="inlineStr">
        <is>
          <t>Tags: FAL-FF-01, FAL-FF-02, FAL-FF-03, FAL-FF-04</t>
        </is>
      </c>
    </row>
    <row r="175">
      <c r="A175" s="6" t="inlineStr">
        <is>
          <t>D.22</t>
        </is>
      </c>
      <c r="B175" s="6" t="inlineStr">
        <is>
          <t>Fresh air louver with bird screen and sand trap</t>
        </is>
      </c>
      <c r="C175" s="6" t="inlineStr">
        <is>
          <t>200x200, aluminium</t>
        </is>
      </c>
      <c r="D175" s="6" t="inlineStr">
        <is>
          <t>No.</t>
        </is>
      </c>
      <c r="E175" s="6" t="n">
        <v>4</v>
      </c>
      <c r="F175" s="7" t="n">
        <v>0</v>
      </c>
      <c r="G175" s="6">
        <f>ROUNDUP(E175*(1+F175/100),0)</f>
        <v/>
      </c>
      <c r="H175" s="6" t="inlineStr">
        <is>
          <t>GF</t>
        </is>
      </c>
      <c r="I175" s="6" t="inlineStr">
        <is>
          <t>Tags: FAL-GF-01, FAL-GF-02, FAL-GF-03, FAL-GF-04</t>
        </is>
      </c>
    </row>
    <row r="176">
      <c r="A176" s="6" t="inlineStr">
        <is>
          <t>D.23</t>
        </is>
      </c>
      <c r="B176" s="6" t="inlineStr">
        <is>
          <t>Fresh air louver with bird screen and sand trap</t>
        </is>
      </c>
      <c r="C176" s="6" t="inlineStr">
        <is>
          <t>300x200, aluminium</t>
        </is>
      </c>
      <c r="D176" s="6" t="inlineStr">
        <is>
          <t>No.</t>
        </is>
      </c>
      <c r="E176" s="6" t="n">
        <v>4</v>
      </c>
      <c r="F176" s="7" t="n">
        <v>0</v>
      </c>
      <c r="G176" s="6">
        <f>ROUNDUP(E176*(1+F176/100),0)</f>
        <v/>
      </c>
      <c r="H176" s="6" t="inlineStr">
        <is>
          <t>SF</t>
        </is>
      </c>
      <c r="I176" s="6" t="inlineStr">
        <is>
          <t>Tags: FAL-SF-01, FAL-SF-02, FAL-SF-03, FAL-SF-04</t>
        </is>
      </c>
    </row>
    <row r="177">
      <c r="A177" s="6" t="inlineStr">
        <is>
          <t>D.24</t>
        </is>
      </c>
      <c r="B177" s="6" t="inlineStr">
        <is>
          <t>Fresh air louver with bird screen and sand trap</t>
        </is>
      </c>
      <c r="C177" s="6" t="inlineStr">
        <is>
          <t>300x200, aluminium</t>
        </is>
      </c>
      <c r="D177" s="6" t="inlineStr">
        <is>
          <t>No.</t>
        </is>
      </c>
      <c r="E177" s="6" t="n">
        <v>4</v>
      </c>
      <c r="F177" s="7" t="n">
        <v>0</v>
      </c>
      <c r="G177" s="6">
        <f>ROUNDUP(E177*(1+F177/100),0)</f>
        <v/>
      </c>
      <c r="H177" s="6" t="inlineStr">
        <is>
          <t>TF</t>
        </is>
      </c>
      <c r="I177" s="6" t="inlineStr">
        <is>
          <t>Tags: FAL-TF-01, FAL-TF-02, FAL-TF-03, FAL-TF-04</t>
        </is>
      </c>
    </row>
    <row r="178">
      <c r="A178" s="6" t="inlineStr">
        <is>
          <t>D.25</t>
        </is>
      </c>
      <c r="B178" s="6" t="inlineStr">
        <is>
          <t>Return grille with filter and plenum box</t>
        </is>
      </c>
      <c r="C178" s="6" t="inlineStr">
        <is>
          <t>600x450, aluminium, eggcrate</t>
        </is>
      </c>
      <c r="D178" s="6" t="inlineStr">
        <is>
          <t>No.</t>
        </is>
      </c>
      <c r="E178" s="6" t="n">
        <v>4</v>
      </c>
      <c r="F178" s="7" t="n">
        <v>0</v>
      </c>
      <c r="G178" s="6">
        <f>ROUNDUP(E178*(1+F178/100),0)</f>
        <v/>
      </c>
      <c r="H178" s="6" t="inlineStr">
        <is>
          <t>FF</t>
        </is>
      </c>
      <c r="I178" s="6" t="inlineStr">
        <is>
          <t>Tags: RG-FF-01, RG-FF-02, RG-FF-03, RG-FF-04</t>
        </is>
      </c>
    </row>
    <row r="179">
      <c r="A179" s="6" t="inlineStr">
        <is>
          <t>D.26</t>
        </is>
      </c>
      <c r="B179" s="6" t="inlineStr">
        <is>
          <t>Return grille with filter and plenum box</t>
        </is>
      </c>
      <c r="C179" s="6" t="inlineStr">
        <is>
          <t>600x450, aluminium, eggcrate</t>
        </is>
      </c>
      <c r="D179" s="6" t="inlineStr">
        <is>
          <t>No.</t>
        </is>
      </c>
      <c r="E179" s="6" t="n">
        <v>4</v>
      </c>
      <c r="F179" s="7" t="n">
        <v>0</v>
      </c>
      <c r="G179" s="6">
        <f>ROUNDUP(E179*(1+F179/100),0)</f>
        <v/>
      </c>
      <c r="H179" s="6" t="inlineStr">
        <is>
          <t>GF</t>
        </is>
      </c>
      <c r="I179" s="6" t="inlineStr">
        <is>
          <t>Tags: RG-GF-01, RG-GF-02, RG-GF-03, RG-GF-04</t>
        </is>
      </c>
    </row>
    <row r="180">
      <c r="A180" s="6" t="inlineStr">
        <is>
          <t>D.27</t>
        </is>
      </c>
      <c r="B180" s="6" t="inlineStr">
        <is>
          <t>Return grille with filter and plenum box</t>
        </is>
      </c>
      <c r="C180" s="6" t="inlineStr">
        <is>
          <t>600x450, aluminium, eggcrate</t>
        </is>
      </c>
      <c r="D180" s="6" t="inlineStr">
        <is>
          <t>No.</t>
        </is>
      </c>
      <c r="E180" s="6" t="n">
        <v>4</v>
      </c>
      <c r="F180" s="7" t="n">
        <v>0</v>
      </c>
      <c r="G180" s="6">
        <f>ROUNDUP(E180*(1+F180/100),0)</f>
        <v/>
      </c>
      <c r="H180" s="6" t="inlineStr">
        <is>
          <t>SF</t>
        </is>
      </c>
      <c r="I180" s="6" t="inlineStr">
        <is>
          <t>Tags: RG-SF-01, RG-SF-02, RG-SF-03, RG-SF-04</t>
        </is>
      </c>
    </row>
    <row r="181">
      <c r="A181" s="6" t="inlineStr">
        <is>
          <t>D.28</t>
        </is>
      </c>
      <c r="B181" s="6" t="inlineStr">
        <is>
          <t>Return grille with filter and plenum box</t>
        </is>
      </c>
      <c r="C181" s="6" t="inlineStr">
        <is>
          <t>600x450, aluminium, eggcrate</t>
        </is>
      </c>
      <c r="D181" s="6" t="inlineStr">
        <is>
          <t>No.</t>
        </is>
      </c>
      <c r="E181" s="6" t="n">
        <v>4</v>
      </c>
      <c r="F181" s="7" t="n">
        <v>0</v>
      </c>
      <c r="G181" s="6">
        <f>ROUNDUP(E181*(1+F181/100),0)</f>
        <v/>
      </c>
      <c r="H181" s="6" t="inlineStr">
        <is>
          <t>TF</t>
        </is>
      </c>
      <c r="I181" s="6" t="inlineStr">
        <is>
          <t>Tags: RG-TF-01, RG-TF-02, RG-TF-03, RG-TF-04</t>
        </is>
      </c>
    </row>
    <row r="183">
      <c r="A183" s="4" t="inlineStr">
        <is>
          <t>E. DAMPERS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6" t="inlineStr">
        <is>
          <t>E.1</t>
        </is>
      </c>
      <c r="B184" s="6" t="inlineStr">
        <is>
          <t>Volume control damper (branch), opposed blade</t>
        </is>
      </c>
      <c r="C184" s="6" t="inlineStr">
        <is>
          <t>400x250</t>
        </is>
      </c>
      <c r="D184" s="6" t="inlineStr">
        <is>
          <t>No.</t>
        </is>
      </c>
      <c r="E184" s="6" t="n">
        <v>4</v>
      </c>
      <c r="F184" s="7" t="n">
        <v>0</v>
      </c>
      <c r="G184" s="6">
        <f>ROUNDUP(E184*(1+F184/100),0)</f>
        <v/>
      </c>
      <c r="H184" s="6" t="inlineStr">
        <is>
          <t>FF</t>
        </is>
      </c>
      <c r="I184" s="6" t="inlineStr">
        <is>
          <t>zones Z-FF-09, Z-FF-10, Z-FF-11, Z-FF-12</t>
        </is>
      </c>
    </row>
    <row r="185">
      <c r="A185" s="6" t="inlineStr">
        <is>
          <t>E.2</t>
        </is>
      </c>
      <c r="B185" s="6" t="inlineStr">
        <is>
          <t>Volume control damper (branch), opposed blade</t>
        </is>
      </c>
      <c r="C185" s="6" t="inlineStr">
        <is>
          <t>400x250</t>
        </is>
      </c>
      <c r="D185" s="6" t="inlineStr">
        <is>
          <t>No.</t>
        </is>
      </c>
      <c r="E185" s="6" t="n">
        <v>4</v>
      </c>
      <c r="F185" s="7" t="n">
        <v>0</v>
      </c>
      <c r="G185" s="6">
        <f>ROUNDUP(E185*(1+F185/100),0)</f>
        <v/>
      </c>
      <c r="H185" s="6" t="inlineStr">
        <is>
          <t>GF</t>
        </is>
      </c>
      <c r="I185" s="6" t="inlineStr">
        <is>
          <t>zones Z-GF-09, Z-GF-10, Z-GF-11, Z-GF-12</t>
        </is>
      </c>
    </row>
    <row r="186">
      <c r="A186" s="6" t="inlineStr">
        <is>
          <t>E.3</t>
        </is>
      </c>
      <c r="B186" s="6" t="inlineStr">
        <is>
          <t>Volume control damper (branch), opposed blade</t>
        </is>
      </c>
      <c r="C186" s="6" t="inlineStr">
        <is>
          <t>400x250</t>
        </is>
      </c>
      <c r="D186" s="6" t="inlineStr">
        <is>
          <t>No.</t>
        </is>
      </c>
      <c r="E186" s="6" t="n">
        <v>1</v>
      </c>
      <c r="F186" s="7" t="n">
        <v>0</v>
      </c>
      <c r="G186" s="6">
        <f>ROUNDUP(E186*(1+F186/100),0)</f>
        <v/>
      </c>
      <c r="H186" s="6" t="inlineStr">
        <is>
          <t>SF</t>
        </is>
      </c>
      <c r="I186" s="6" t="inlineStr">
        <is>
          <t>zones Z-SF-12</t>
        </is>
      </c>
    </row>
    <row r="187">
      <c r="A187" s="6" t="inlineStr">
        <is>
          <t>E.4</t>
        </is>
      </c>
      <c r="B187" s="6" t="inlineStr">
        <is>
          <t>Volume control damper on fresh air duct</t>
        </is>
      </c>
      <c r="C187" s="6" t="inlineStr">
        <is>
          <t>Ø125</t>
        </is>
      </c>
      <c r="D187" s="6" t="inlineStr">
        <is>
          <t>No.</t>
        </is>
      </c>
      <c r="E187" s="6" t="n">
        <v>1</v>
      </c>
      <c r="F187" s="7" t="n">
        <v>0</v>
      </c>
      <c r="G187" s="6">
        <f>ROUNDUP(E187*(1+F187/100),0)</f>
        <v/>
      </c>
      <c r="H187" s="6" t="inlineStr">
        <is>
          <t>Z-GF-09</t>
        </is>
      </c>
      <c r="I187" s="6" t="inlineStr"/>
    </row>
    <row r="188">
      <c r="A188" s="6" t="inlineStr">
        <is>
          <t>E.5</t>
        </is>
      </c>
      <c r="B188" s="6" t="inlineStr">
        <is>
          <t>Motorised fresh air damper, 24 V on/off, interlocked with indoor unit</t>
        </is>
      </c>
      <c r="C188" s="6" t="inlineStr">
        <is>
          <t>Ø125</t>
        </is>
      </c>
      <c r="D188" s="6" t="inlineStr">
        <is>
          <t>No.</t>
        </is>
      </c>
      <c r="E188" s="6" t="n">
        <v>1</v>
      </c>
      <c r="F188" s="7" t="n">
        <v>0</v>
      </c>
      <c r="G188" s="6">
        <f>ROUNDUP(E188*(1+F188/100),0)</f>
        <v/>
      </c>
      <c r="H188" s="6" t="inlineStr">
        <is>
          <t>Z-GF-09</t>
        </is>
      </c>
      <c r="I188" s="6" t="inlineStr"/>
    </row>
    <row r="189">
      <c r="A189" s="6" t="inlineStr">
        <is>
          <t>E.6</t>
        </is>
      </c>
      <c r="B189" s="6" t="inlineStr">
        <is>
          <t>Volume control damper on fresh air duct</t>
        </is>
      </c>
      <c r="C189" s="6" t="inlineStr">
        <is>
          <t>Ø125</t>
        </is>
      </c>
      <c r="D189" s="6" t="inlineStr">
        <is>
          <t>No.</t>
        </is>
      </c>
      <c r="E189" s="6" t="n">
        <v>1</v>
      </c>
      <c r="F189" s="7" t="n">
        <v>0</v>
      </c>
      <c r="G189" s="6">
        <f>ROUNDUP(E189*(1+F189/100),0)</f>
        <v/>
      </c>
      <c r="H189" s="6" t="inlineStr">
        <is>
          <t>Z-GF-10</t>
        </is>
      </c>
      <c r="I189" s="6" t="inlineStr"/>
    </row>
    <row r="190">
      <c r="A190" s="6" t="inlineStr">
        <is>
          <t>E.7</t>
        </is>
      </c>
      <c r="B190" s="6" t="inlineStr">
        <is>
          <t>Motorised fresh air damper, 24 V on/off, interlocked with indoor unit</t>
        </is>
      </c>
      <c r="C190" s="6" t="inlineStr">
        <is>
          <t>Ø125</t>
        </is>
      </c>
      <c r="D190" s="6" t="inlineStr">
        <is>
          <t>No.</t>
        </is>
      </c>
      <c r="E190" s="6" t="n">
        <v>1</v>
      </c>
      <c r="F190" s="7" t="n">
        <v>0</v>
      </c>
      <c r="G190" s="6">
        <f>ROUNDUP(E190*(1+F190/100),0)</f>
        <v/>
      </c>
      <c r="H190" s="6" t="inlineStr">
        <is>
          <t>Z-GF-10</t>
        </is>
      </c>
      <c r="I190" s="6" t="inlineStr"/>
    </row>
    <row r="191">
      <c r="A191" s="6" t="inlineStr">
        <is>
          <t>E.8</t>
        </is>
      </c>
      <c r="B191" s="6" t="inlineStr">
        <is>
          <t>Volume control damper on fresh air duct</t>
        </is>
      </c>
      <c r="C191" s="6" t="inlineStr">
        <is>
          <t>Ø125</t>
        </is>
      </c>
      <c r="D191" s="6" t="inlineStr">
        <is>
          <t>No.</t>
        </is>
      </c>
      <c r="E191" s="6" t="n">
        <v>1</v>
      </c>
      <c r="F191" s="7" t="n">
        <v>0</v>
      </c>
      <c r="G191" s="6">
        <f>ROUNDUP(E191*(1+F191/100),0)</f>
        <v/>
      </c>
      <c r="H191" s="6" t="inlineStr">
        <is>
          <t>Z-GF-11</t>
        </is>
      </c>
      <c r="I191" s="6" t="inlineStr"/>
    </row>
    <row r="192">
      <c r="A192" s="6" t="inlineStr">
        <is>
          <t>E.9</t>
        </is>
      </c>
      <c r="B192" s="6" t="inlineStr">
        <is>
          <t>Motorised fresh air damper, 24 V on/off, interlocked with indoor unit</t>
        </is>
      </c>
      <c r="C192" s="6" t="inlineStr">
        <is>
          <t>Ø125</t>
        </is>
      </c>
      <c r="D192" s="6" t="inlineStr">
        <is>
          <t>No.</t>
        </is>
      </c>
      <c r="E192" s="6" t="n">
        <v>1</v>
      </c>
      <c r="F192" s="7" t="n">
        <v>0</v>
      </c>
      <c r="G192" s="6">
        <f>ROUNDUP(E192*(1+F192/100),0)</f>
        <v/>
      </c>
      <c r="H192" s="6" t="inlineStr">
        <is>
          <t>Z-GF-11</t>
        </is>
      </c>
      <c r="I192" s="6" t="inlineStr"/>
    </row>
    <row r="193">
      <c r="A193" s="6" t="inlineStr">
        <is>
          <t>E.10</t>
        </is>
      </c>
      <c r="B193" s="6" t="inlineStr">
        <is>
          <t>Volume control damper on fresh air duct</t>
        </is>
      </c>
      <c r="C193" s="6" t="inlineStr">
        <is>
          <t>Ø125</t>
        </is>
      </c>
      <c r="D193" s="6" t="inlineStr">
        <is>
          <t>No.</t>
        </is>
      </c>
      <c r="E193" s="6" t="n">
        <v>1</v>
      </c>
      <c r="F193" s="7" t="n">
        <v>0</v>
      </c>
      <c r="G193" s="6">
        <f>ROUNDUP(E193*(1+F193/100),0)</f>
        <v/>
      </c>
      <c r="H193" s="6" t="inlineStr">
        <is>
          <t>Z-GF-12</t>
        </is>
      </c>
      <c r="I193" s="6" t="inlineStr"/>
    </row>
    <row r="194">
      <c r="A194" s="6" t="inlineStr">
        <is>
          <t>E.11</t>
        </is>
      </c>
      <c r="B194" s="6" t="inlineStr">
        <is>
          <t>Motorised fresh air damper, 24 V on/off, interlocked with indoor unit</t>
        </is>
      </c>
      <c r="C194" s="6" t="inlineStr">
        <is>
          <t>Ø125</t>
        </is>
      </c>
      <c r="D194" s="6" t="inlineStr">
        <is>
          <t>No.</t>
        </is>
      </c>
      <c r="E194" s="6" t="n">
        <v>1</v>
      </c>
      <c r="F194" s="7" t="n">
        <v>0</v>
      </c>
      <c r="G194" s="6">
        <f>ROUNDUP(E194*(1+F194/100),0)</f>
        <v/>
      </c>
      <c r="H194" s="6" t="inlineStr">
        <is>
          <t>Z-GF-12</t>
        </is>
      </c>
      <c r="I194" s="6" t="inlineStr"/>
    </row>
    <row r="195">
      <c r="A195" s="6" t="inlineStr">
        <is>
          <t>E.12</t>
        </is>
      </c>
      <c r="B195" s="6" t="inlineStr">
        <is>
          <t>Volume control damper on fresh air duct</t>
        </is>
      </c>
      <c r="C195" s="6" t="inlineStr">
        <is>
          <t>Ø125</t>
        </is>
      </c>
      <c r="D195" s="6" t="inlineStr">
        <is>
          <t>No.</t>
        </is>
      </c>
      <c r="E195" s="6" t="n">
        <v>1</v>
      </c>
      <c r="F195" s="7" t="n">
        <v>0</v>
      </c>
      <c r="G195" s="6">
        <f>ROUNDUP(E195*(1+F195/100),0)</f>
        <v/>
      </c>
      <c r="H195" s="6" t="inlineStr">
        <is>
          <t>Z-FF-09</t>
        </is>
      </c>
      <c r="I195" s="6" t="inlineStr"/>
    </row>
    <row r="196">
      <c r="A196" s="6" t="inlineStr">
        <is>
          <t>E.13</t>
        </is>
      </c>
      <c r="B196" s="6" t="inlineStr">
        <is>
          <t>Motorised fresh air damper, 24 V on/off, interlocked with indoor unit</t>
        </is>
      </c>
      <c r="C196" s="6" t="inlineStr">
        <is>
          <t>Ø125</t>
        </is>
      </c>
      <c r="D196" s="6" t="inlineStr">
        <is>
          <t>No.</t>
        </is>
      </c>
      <c r="E196" s="6" t="n">
        <v>1</v>
      </c>
      <c r="F196" s="7" t="n">
        <v>0</v>
      </c>
      <c r="G196" s="6">
        <f>ROUNDUP(E196*(1+F196/100),0)</f>
        <v/>
      </c>
      <c r="H196" s="6" t="inlineStr">
        <is>
          <t>Z-FF-09</t>
        </is>
      </c>
      <c r="I196" s="6" t="inlineStr"/>
    </row>
    <row r="197">
      <c r="A197" s="6" t="inlineStr">
        <is>
          <t>E.14</t>
        </is>
      </c>
      <c r="B197" s="6" t="inlineStr">
        <is>
          <t>Volume control damper on fresh air duct</t>
        </is>
      </c>
      <c r="C197" s="6" t="inlineStr">
        <is>
          <t>Ø125</t>
        </is>
      </c>
      <c r="D197" s="6" t="inlineStr">
        <is>
          <t>No.</t>
        </is>
      </c>
      <c r="E197" s="6" t="n">
        <v>1</v>
      </c>
      <c r="F197" s="7" t="n">
        <v>0</v>
      </c>
      <c r="G197" s="6">
        <f>ROUNDUP(E197*(1+F197/100),0)</f>
        <v/>
      </c>
      <c r="H197" s="6" t="inlineStr">
        <is>
          <t>Z-FF-10</t>
        </is>
      </c>
      <c r="I197" s="6" t="inlineStr"/>
    </row>
    <row r="198">
      <c r="A198" s="6" t="inlineStr">
        <is>
          <t>E.15</t>
        </is>
      </c>
      <c r="B198" s="6" t="inlineStr">
        <is>
          <t>Motorised fresh air damper, 24 V on/off, interlocked with indoor unit</t>
        </is>
      </c>
      <c r="C198" s="6" t="inlineStr">
        <is>
          <t>Ø125</t>
        </is>
      </c>
      <c r="D198" s="6" t="inlineStr">
        <is>
          <t>No.</t>
        </is>
      </c>
      <c r="E198" s="6" t="n">
        <v>1</v>
      </c>
      <c r="F198" s="7" t="n">
        <v>0</v>
      </c>
      <c r="G198" s="6">
        <f>ROUNDUP(E198*(1+F198/100),0)</f>
        <v/>
      </c>
      <c r="H198" s="6" t="inlineStr">
        <is>
          <t>Z-FF-10</t>
        </is>
      </c>
      <c r="I198" s="6" t="inlineStr"/>
    </row>
    <row r="199">
      <c r="A199" s="6" t="inlineStr">
        <is>
          <t>E.16</t>
        </is>
      </c>
      <c r="B199" s="6" t="inlineStr">
        <is>
          <t>Volume control damper on fresh air duct</t>
        </is>
      </c>
      <c r="C199" s="6" t="inlineStr">
        <is>
          <t>Ø125</t>
        </is>
      </c>
      <c r="D199" s="6" t="inlineStr">
        <is>
          <t>No.</t>
        </is>
      </c>
      <c r="E199" s="6" t="n">
        <v>1</v>
      </c>
      <c r="F199" s="7" t="n">
        <v>0</v>
      </c>
      <c r="G199" s="6">
        <f>ROUNDUP(E199*(1+F199/100),0)</f>
        <v/>
      </c>
      <c r="H199" s="6" t="inlineStr">
        <is>
          <t>Z-FF-11</t>
        </is>
      </c>
      <c r="I199" s="6" t="inlineStr"/>
    </row>
    <row r="200">
      <c r="A200" s="6" t="inlineStr">
        <is>
          <t>E.17</t>
        </is>
      </c>
      <c r="B200" s="6" t="inlineStr">
        <is>
          <t>Motorised fresh air damper, 24 V on/off, interlocked with indoor unit</t>
        </is>
      </c>
      <c r="C200" s="6" t="inlineStr">
        <is>
          <t>Ø125</t>
        </is>
      </c>
      <c r="D200" s="6" t="inlineStr">
        <is>
          <t>No.</t>
        </is>
      </c>
      <c r="E200" s="6" t="n">
        <v>1</v>
      </c>
      <c r="F200" s="7" t="n">
        <v>0</v>
      </c>
      <c r="G200" s="6">
        <f>ROUNDUP(E200*(1+F200/100),0)</f>
        <v/>
      </c>
      <c r="H200" s="6" t="inlineStr">
        <is>
          <t>Z-FF-11</t>
        </is>
      </c>
      <c r="I200" s="6" t="inlineStr"/>
    </row>
    <row r="201">
      <c r="A201" s="6" t="inlineStr">
        <is>
          <t>E.18</t>
        </is>
      </c>
      <c r="B201" s="6" t="inlineStr">
        <is>
          <t>Volume control damper on fresh air duct</t>
        </is>
      </c>
      <c r="C201" s="6" t="inlineStr">
        <is>
          <t>Ø125</t>
        </is>
      </c>
      <c r="D201" s="6" t="inlineStr">
        <is>
          <t>No.</t>
        </is>
      </c>
      <c r="E201" s="6" t="n">
        <v>1</v>
      </c>
      <c r="F201" s="7" t="n">
        <v>0</v>
      </c>
      <c r="G201" s="6">
        <f>ROUNDUP(E201*(1+F201/100),0)</f>
        <v/>
      </c>
      <c r="H201" s="6" t="inlineStr">
        <is>
          <t>Z-FF-12</t>
        </is>
      </c>
      <c r="I201" s="6" t="inlineStr"/>
    </row>
    <row r="202">
      <c r="A202" s="6" t="inlineStr">
        <is>
          <t>E.19</t>
        </is>
      </c>
      <c r="B202" s="6" t="inlineStr">
        <is>
          <t>Motorised fresh air damper, 24 V on/off, interlocked with indoor unit</t>
        </is>
      </c>
      <c r="C202" s="6" t="inlineStr">
        <is>
          <t>Ø125</t>
        </is>
      </c>
      <c r="D202" s="6" t="inlineStr">
        <is>
          <t>No.</t>
        </is>
      </c>
      <c r="E202" s="6" t="n">
        <v>1</v>
      </c>
      <c r="F202" s="7" t="n">
        <v>0</v>
      </c>
      <c r="G202" s="6">
        <f>ROUNDUP(E202*(1+F202/100),0)</f>
        <v/>
      </c>
      <c r="H202" s="6" t="inlineStr">
        <is>
          <t>Z-FF-12</t>
        </is>
      </c>
      <c r="I202" s="6" t="inlineStr"/>
    </row>
    <row r="203">
      <c r="A203" s="6" t="inlineStr">
        <is>
          <t>E.20</t>
        </is>
      </c>
      <c r="B203" s="6" t="inlineStr">
        <is>
          <t>Volume control damper on fresh air duct</t>
        </is>
      </c>
      <c r="C203" s="6" t="inlineStr">
        <is>
          <t>Ø150</t>
        </is>
      </c>
      <c r="D203" s="6" t="inlineStr">
        <is>
          <t>No.</t>
        </is>
      </c>
      <c r="E203" s="6" t="n">
        <v>1</v>
      </c>
      <c r="F203" s="7" t="n">
        <v>0</v>
      </c>
      <c r="G203" s="6">
        <f>ROUNDUP(E203*(1+F203/100),0)</f>
        <v/>
      </c>
      <c r="H203" s="6" t="inlineStr">
        <is>
          <t>Z-SF-10</t>
        </is>
      </c>
      <c r="I203" s="6" t="inlineStr"/>
    </row>
    <row r="204">
      <c r="A204" s="6" t="inlineStr">
        <is>
          <t>E.21</t>
        </is>
      </c>
      <c r="B204" s="6" t="inlineStr">
        <is>
          <t>Motorised fresh air damper, 24 V on/off, interlocked with indoor unit</t>
        </is>
      </c>
      <c r="C204" s="6" t="inlineStr">
        <is>
          <t>Ø150</t>
        </is>
      </c>
      <c r="D204" s="6" t="inlineStr">
        <is>
          <t>No.</t>
        </is>
      </c>
      <c r="E204" s="6" t="n">
        <v>1</v>
      </c>
      <c r="F204" s="7" t="n">
        <v>0</v>
      </c>
      <c r="G204" s="6">
        <f>ROUNDUP(E204*(1+F204/100),0)</f>
        <v/>
      </c>
      <c r="H204" s="6" t="inlineStr">
        <is>
          <t>Z-SF-10</t>
        </is>
      </c>
      <c r="I204" s="6" t="inlineStr"/>
    </row>
    <row r="205">
      <c r="A205" s="6" t="inlineStr">
        <is>
          <t>E.22</t>
        </is>
      </c>
      <c r="B205" s="6" t="inlineStr">
        <is>
          <t>Volume control damper on fresh air duct</t>
        </is>
      </c>
      <c r="C205" s="6" t="inlineStr">
        <is>
          <t>Ø150</t>
        </is>
      </c>
      <c r="D205" s="6" t="inlineStr">
        <is>
          <t>No.</t>
        </is>
      </c>
      <c r="E205" s="6" t="n">
        <v>1</v>
      </c>
      <c r="F205" s="7" t="n">
        <v>0</v>
      </c>
      <c r="G205" s="6">
        <f>ROUNDUP(E205*(1+F205/100),0)</f>
        <v/>
      </c>
      <c r="H205" s="6" t="inlineStr">
        <is>
          <t>Z-SF-11</t>
        </is>
      </c>
      <c r="I205" s="6" t="inlineStr"/>
    </row>
    <row r="206">
      <c r="A206" s="6" t="inlineStr">
        <is>
          <t>E.23</t>
        </is>
      </c>
      <c r="B206" s="6" t="inlineStr">
        <is>
          <t>Motorised fresh air damper, 24 V on/off, interlocked with indoor unit</t>
        </is>
      </c>
      <c r="C206" s="6" t="inlineStr">
        <is>
          <t>Ø150</t>
        </is>
      </c>
      <c r="D206" s="6" t="inlineStr">
        <is>
          <t>No.</t>
        </is>
      </c>
      <c r="E206" s="6" t="n">
        <v>1</v>
      </c>
      <c r="F206" s="7" t="n">
        <v>0</v>
      </c>
      <c r="G206" s="6">
        <f>ROUNDUP(E206*(1+F206/100),0)</f>
        <v/>
      </c>
      <c r="H206" s="6" t="inlineStr">
        <is>
          <t>Z-SF-11</t>
        </is>
      </c>
      <c r="I206" s="6" t="inlineStr"/>
    </row>
    <row r="207">
      <c r="A207" s="6" t="inlineStr">
        <is>
          <t>E.24</t>
        </is>
      </c>
      <c r="B207" s="6" t="inlineStr">
        <is>
          <t>Volume control damper on fresh air duct</t>
        </is>
      </c>
      <c r="C207" s="6" t="inlineStr">
        <is>
          <t>Ø150</t>
        </is>
      </c>
      <c r="D207" s="6" t="inlineStr">
        <is>
          <t>No.</t>
        </is>
      </c>
      <c r="E207" s="6" t="n">
        <v>1</v>
      </c>
      <c r="F207" s="7" t="n">
        <v>0</v>
      </c>
      <c r="G207" s="6">
        <f>ROUNDUP(E207*(1+F207/100),0)</f>
        <v/>
      </c>
      <c r="H207" s="6" t="inlineStr">
        <is>
          <t>Z-SF-12</t>
        </is>
      </c>
      <c r="I207" s="6" t="inlineStr"/>
    </row>
    <row r="208">
      <c r="A208" s="6" t="inlineStr">
        <is>
          <t>E.25</t>
        </is>
      </c>
      <c r="B208" s="6" t="inlineStr">
        <is>
          <t>Motorised fresh air damper, 24 V on/off, interlocked with indoor unit</t>
        </is>
      </c>
      <c r="C208" s="6" t="inlineStr">
        <is>
          <t>Ø150</t>
        </is>
      </c>
      <c r="D208" s="6" t="inlineStr">
        <is>
          <t>No.</t>
        </is>
      </c>
      <c r="E208" s="6" t="n">
        <v>1</v>
      </c>
      <c r="F208" s="7" t="n">
        <v>0</v>
      </c>
      <c r="G208" s="6">
        <f>ROUNDUP(E208*(1+F208/100),0)</f>
        <v/>
      </c>
      <c r="H208" s="6" t="inlineStr">
        <is>
          <t>Z-SF-12</t>
        </is>
      </c>
      <c r="I208" s="6" t="inlineStr"/>
    </row>
    <row r="209">
      <c r="A209" s="6" t="inlineStr">
        <is>
          <t>E.26</t>
        </is>
      </c>
      <c r="B209" s="6" t="inlineStr">
        <is>
          <t>Volume control damper on fresh air duct</t>
        </is>
      </c>
      <c r="C209" s="6" t="inlineStr">
        <is>
          <t>Ø150</t>
        </is>
      </c>
      <c r="D209" s="6" t="inlineStr">
        <is>
          <t>No.</t>
        </is>
      </c>
      <c r="E209" s="6" t="n">
        <v>1</v>
      </c>
      <c r="F209" s="7" t="n">
        <v>0</v>
      </c>
      <c r="G209" s="6">
        <f>ROUNDUP(E209*(1+F209/100),0)</f>
        <v/>
      </c>
      <c r="H209" s="6" t="inlineStr">
        <is>
          <t>Z-SF-13</t>
        </is>
      </c>
      <c r="I209" s="6" t="inlineStr"/>
    </row>
    <row r="210">
      <c r="A210" s="6" t="inlineStr">
        <is>
          <t>E.27</t>
        </is>
      </c>
      <c r="B210" s="6" t="inlineStr">
        <is>
          <t>Motorised fresh air damper, 24 V on/off, interlocked with indoor unit</t>
        </is>
      </c>
      <c r="C210" s="6" t="inlineStr">
        <is>
          <t>Ø150</t>
        </is>
      </c>
      <c r="D210" s="6" t="inlineStr">
        <is>
          <t>No.</t>
        </is>
      </c>
      <c r="E210" s="6" t="n">
        <v>1</v>
      </c>
      <c r="F210" s="7" t="n">
        <v>0</v>
      </c>
      <c r="G210" s="6">
        <f>ROUNDUP(E210*(1+F210/100),0)</f>
        <v/>
      </c>
      <c r="H210" s="6" t="inlineStr">
        <is>
          <t>Z-SF-13</t>
        </is>
      </c>
      <c r="I210" s="6" t="inlineStr"/>
    </row>
    <row r="211">
      <c r="A211" s="6" t="inlineStr">
        <is>
          <t>E.28</t>
        </is>
      </c>
      <c r="B211" s="6" t="inlineStr">
        <is>
          <t>Volume control damper on fresh air duct</t>
        </is>
      </c>
      <c r="C211" s="6" t="inlineStr">
        <is>
          <t>Ø150</t>
        </is>
      </c>
      <c r="D211" s="6" t="inlineStr">
        <is>
          <t>No.</t>
        </is>
      </c>
      <c r="E211" s="6" t="n">
        <v>1</v>
      </c>
      <c r="F211" s="7" t="n">
        <v>0</v>
      </c>
      <c r="G211" s="6">
        <f>ROUNDUP(E211*(1+F211/100),0)</f>
        <v/>
      </c>
      <c r="H211" s="6" t="inlineStr">
        <is>
          <t>Z-TF-09</t>
        </is>
      </c>
      <c r="I211" s="6" t="inlineStr"/>
    </row>
    <row r="212">
      <c r="A212" s="6" t="inlineStr">
        <is>
          <t>E.29</t>
        </is>
      </c>
      <c r="B212" s="6" t="inlineStr">
        <is>
          <t>Motorised fresh air damper, 24 V on/off, interlocked with indoor unit</t>
        </is>
      </c>
      <c r="C212" s="6" t="inlineStr">
        <is>
          <t>Ø150</t>
        </is>
      </c>
      <c r="D212" s="6" t="inlineStr">
        <is>
          <t>No.</t>
        </is>
      </c>
      <c r="E212" s="6" t="n">
        <v>1</v>
      </c>
      <c r="F212" s="7" t="n">
        <v>0</v>
      </c>
      <c r="G212" s="6">
        <f>ROUNDUP(E212*(1+F212/100),0)</f>
        <v/>
      </c>
      <c r="H212" s="6" t="inlineStr">
        <is>
          <t>Z-TF-09</t>
        </is>
      </c>
      <c r="I212" s="6" t="inlineStr"/>
    </row>
    <row r="213">
      <c r="A213" s="6" t="inlineStr">
        <is>
          <t>E.30</t>
        </is>
      </c>
      <c r="B213" s="6" t="inlineStr">
        <is>
          <t>Volume control damper on fresh air duct</t>
        </is>
      </c>
      <c r="C213" s="6" t="inlineStr">
        <is>
          <t>Ø150</t>
        </is>
      </c>
      <c r="D213" s="6" t="inlineStr">
        <is>
          <t>No.</t>
        </is>
      </c>
      <c r="E213" s="6" t="n">
        <v>1</v>
      </c>
      <c r="F213" s="7" t="n">
        <v>0</v>
      </c>
      <c r="G213" s="6">
        <f>ROUNDUP(E213*(1+F213/100),0)</f>
        <v/>
      </c>
      <c r="H213" s="6" t="inlineStr">
        <is>
          <t>Z-TF-10</t>
        </is>
      </c>
      <c r="I213" s="6" t="inlineStr"/>
    </row>
    <row r="214">
      <c r="A214" s="6" t="inlineStr">
        <is>
          <t>E.31</t>
        </is>
      </c>
      <c r="B214" s="6" t="inlineStr">
        <is>
          <t>Motorised fresh air damper, 24 V on/off, interlocked with indoor unit</t>
        </is>
      </c>
      <c r="C214" s="6" t="inlineStr">
        <is>
          <t>Ø150</t>
        </is>
      </c>
      <c r="D214" s="6" t="inlineStr">
        <is>
          <t>No.</t>
        </is>
      </c>
      <c r="E214" s="6" t="n">
        <v>1</v>
      </c>
      <c r="F214" s="7" t="n">
        <v>0</v>
      </c>
      <c r="G214" s="6">
        <f>ROUNDUP(E214*(1+F214/100),0)</f>
        <v/>
      </c>
      <c r="H214" s="6" t="inlineStr">
        <is>
          <t>Z-TF-10</t>
        </is>
      </c>
      <c r="I214" s="6" t="inlineStr"/>
    </row>
    <row r="215">
      <c r="A215" s="6" t="inlineStr">
        <is>
          <t>E.32</t>
        </is>
      </c>
      <c r="B215" s="6" t="inlineStr">
        <is>
          <t>Volume control damper on fresh air duct</t>
        </is>
      </c>
      <c r="C215" s="6" t="inlineStr">
        <is>
          <t>Ø150</t>
        </is>
      </c>
      <c r="D215" s="6" t="inlineStr">
        <is>
          <t>No.</t>
        </is>
      </c>
      <c r="E215" s="6" t="n">
        <v>1</v>
      </c>
      <c r="F215" s="7" t="n">
        <v>0</v>
      </c>
      <c r="G215" s="6">
        <f>ROUNDUP(E215*(1+F215/100),0)</f>
        <v/>
      </c>
      <c r="H215" s="6" t="inlineStr">
        <is>
          <t>Z-TF-11</t>
        </is>
      </c>
      <c r="I215" s="6" t="inlineStr"/>
    </row>
    <row r="216">
      <c r="A216" s="6" t="inlineStr">
        <is>
          <t>E.33</t>
        </is>
      </c>
      <c r="B216" s="6" t="inlineStr">
        <is>
          <t>Motorised fresh air damper, 24 V on/off, interlocked with indoor unit</t>
        </is>
      </c>
      <c r="C216" s="6" t="inlineStr">
        <is>
          <t>Ø150</t>
        </is>
      </c>
      <c r="D216" s="6" t="inlineStr">
        <is>
          <t>No.</t>
        </is>
      </c>
      <c r="E216" s="6" t="n">
        <v>1</v>
      </c>
      <c r="F216" s="7" t="n">
        <v>0</v>
      </c>
      <c r="G216" s="6">
        <f>ROUNDUP(E216*(1+F216/100),0)</f>
        <v/>
      </c>
      <c r="H216" s="6" t="inlineStr">
        <is>
          <t>Z-TF-11</t>
        </is>
      </c>
      <c r="I216" s="6" t="inlineStr"/>
    </row>
    <row r="217">
      <c r="A217" s="6" t="inlineStr">
        <is>
          <t>E.34</t>
        </is>
      </c>
      <c r="B217" s="6" t="inlineStr">
        <is>
          <t>Volume control damper on fresh air duct</t>
        </is>
      </c>
      <c r="C217" s="6" t="inlineStr">
        <is>
          <t>Ø150</t>
        </is>
      </c>
      <c r="D217" s="6" t="inlineStr">
        <is>
          <t>No.</t>
        </is>
      </c>
      <c r="E217" s="6" t="n">
        <v>1</v>
      </c>
      <c r="F217" s="7" t="n">
        <v>0</v>
      </c>
      <c r="G217" s="6">
        <f>ROUNDUP(E217*(1+F217/100),0)</f>
        <v/>
      </c>
      <c r="H217" s="6" t="inlineStr">
        <is>
          <t>Z-TF-12</t>
        </is>
      </c>
      <c r="I217" s="6" t="inlineStr"/>
    </row>
    <row r="218">
      <c r="A218" s="6" t="inlineStr">
        <is>
          <t>E.35</t>
        </is>
      </c>
      <c r="B218" s="6" t="inlineStr">
        <is>
          <t>Motorised fresh air damper, 24 V on/off, interlocked with indoor unit</t>
        </is>
      </c>
      <c r="C218" s="6" t="inlineStr">
        <is>
          <t>Ø150</t>
        </is>
      </c>
      <c r="D218" s="6" t="inlineStr">
        <is>
          <t>No.</t>
        </is>
      </c>
      <c r="E218" s="6" t="n">
        <v>1</v>
      </c>
      <c r="F218" s="7" t="n">
        <v>0</v>
      </c>
      <c r="G218" s="6">
        <f>ROUNDUP(E218*(1+F218/100),0)</f>
        <v/>
      </c>
      <c r="H218" s="6" t="inlineStr">
        <is>
          <t>Z-TF-12</t>
        </is>
      </c>
      <c r="I218" s="6" t="inlineStr"/>
    </row>
    <row r="219">
      <c r="A219" s="6" t="inlineStr">
        <is>
          <t>E.36</t>
        </is>
      </c>
      <c r="B219" s="6" t="inlineStr">
        <is>
          <t>Backdraft (non-return) damper at exhaust discharge</t>
        </is>
      </c>
      <c r="C219" s="6" t="inlineStr">
        <is>
          <t>Gravity type</t>
        </is>
      </c>
      <c r="D219" s="6" t="inlineStr">
        <is>
          <t>No.</t>
        </is>
      </c>
      <c r="E219" s="6" t="n">
        <v>52</v>
      </c>
      <c r="F219" s="7" t="n">
        <v>0</v>
      </c>
      <c r="G219" s="6">
        <f>ROUNDUP(E219*(1+F219/100),0)</f>
        <v/>
      </c>
      <c r="H219" s="6" t="inlineStr">
        <is>
          <t>All</t>
        </is>
      </c>
      <c r="I219" s="6" t="inlineStr"/>
    </row>
    <row r="220">
      <c r="A220" s="6" t="inlineStr">
        <is>
          <t>E.37</t>
        </is>
      </c>
      <c r="B220" s="6" t="inlineStr">
        <is>
          <t>Fire dampers at fire-rated walls / floors</t>
        </is>
      </c>
      <c r="C220" s="6" t="inlineStr">
        <is>
          <t>UL 555, 1.5 h, fusible link</t>
        </is>
      </c>
      <c r="D220" s="6" t="inlineStr">
        <is>
          <t>No.</t>
        </is>
      </c>
      <c r="E220" s="6" t="n">
        <v>0</v>
      </c>
      <c r="F220" s="7" t="n">
        <v>0</v>
      </c>
      <c r="G220" s="6">
        <f>ROUNDUP(E220*(1+F220/100),0)</f>
        <v/>
      </c>
      <c r="H220" s="6" t="inlineStr">
        <is>
          <t>TBC</t>
        </is>
      </c>
      <c r="I220" s="6" t="inlineStr">
        <is>
          <t>Fire dampers where ducts cross fire-rated walls/floors - fire compartmentation not shown on architectural plan: confirm with fire consultant.</t>
        </is>
      </c>
    </row>
    <row r="222">
      <c r="A222" s="4" t="inlineStr">
        <is>
          <t>F. FANS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6" t="inlineStr">
        <is>
          <t>F.1</t>
        </is>
      </c>
      <c r="B223" s="6" t="inlineStr">
        <is>
          <t>Exhaust fan, ceiling</t>
        </is>
      </c>
      <c r="C223" s="6" t="inlineStr">
        <is>
          <t>EF-25: 25 L/s @ 60 Pa, 15 W</t>
        </is>
      </c>
      <c r="D223" s="6" t="inlineStr">
        <is>
          <t>No.</t>
        </is>
      </c>
      <c r="E223" s="6" t="n">
        <v>8</v>
      </c>
      <c r="F223" s="7" t="n">
        <v>0</v>
      </c>
      <c r="G223" s="6">
        <f>ROUNDUP(E223*(1+F223/100),0)</f>
        <v/>
      </c>
      <c r="H223" s="6" t="inlineStr">
        <is>
          <t>FF</t>
        </is>
      </c>
      <c r="I223" s="6" t="inlineStr">
        <is>
          <t>Tags: EF-FF-02, EF-FF-03, EF-FF-04, EF-FF-05, EF-FF-08, EF-FF-09, EF-FF-10, EF-FF-11</t>
        </is>
      </c>
    </row>
    <row r="224">
      <c r="A224" s="6" t="inlineStr">
        <is>
          <t>F.2</t>
        </is>
      </c>
      <c r="B224" s="6" t="inlineStr">
        <is>
          <t>Exhaust fan, ceiling</t>
        </is>
      </c>
      <c r="C224" s="6" t="inlineStr">
        <is>
          <t>EF-25: 25 L/s @ 60 Pa, 15 W</t>
        </is>
      </c>
      <c r="D224" s="6" t="inlineStr">
        <is>
          <t>No.</t>
        </is>
      </c>
      <c r="E224" s="6" t="n">
        <v>11</v>
      </c>
      <c r="F224" s="7" t="n">
        <v>0</v>
      </c>
      <c r="G224" s="6">
        <f>ROUNDUP(E224*(1+F224/100),0)</f>
        <v/>
      </c>
      <c r="H224" s="6" t="inlineStr">
        <is>
          <t>GF</t>
        </is>
      </c>
      <c r="I224" s="6" t="inlineStr">
        <is>
          <t>Tags: EF-GF-02, EF-GF-03, EF-GF-04, EF-GF-05, EF-GF-07, EF-GF-08, EF-GF-09, EF-GF-10, EF-GF-12, EF-GF-13, EF-GF-14</t>
        </is>
      </c>
    </row>
    <row r="225">
      <c r="A225" s="6" t="inlineStr">
        <is>
          <t>F.3</t>
        </is>
      </c>
      <c r="B225" s="6" t="inlineStr">
        <is>
          <t>Exhaust fan, ceiling</t>
        </is>
      </c>
      <c r="C225" s="6" t="inlineStr">
        <is>
          <t>EF-25: 25 L/s @ 60 Pa, 15 W</t>
        </is>
      </c>
      <c r="D225" s="6" t="inlineStr">
        <is>
          <t>No.</t>
        </is>
      </c>
      <c r="E225" s="6" t="n">
        <v>8</v>
      </c>
      <c r="F225" s="7" t="n">
        <v>0</v>
      </c>
      <c r="G225" s="6">
        <f>ROUNDUP(E225*(1+F225/100),0)</f>
        <v/>
      </c>
      <c r="H225" s="6" t="inlineStr">
        <is>
          <t>SF</t>
        </is>
      </c>
      <c r="I225" s="6" t="inlineStr">
        <is>
          <t>Tags: EF-SF-02, EF-SF-03, EF-SF-06, EF-SF-07, EF-SF-08, EF-SF-09, EF-SF-11, EF-SF-12</t>
        </is>
      </c>
    </row>
    <row r="226">
      <c r="A226" s="6" t="inlineStr">
        <is>
          <t>F.4</t>
        </is>
      </c>
      <c r="B226" s="6" t="inlineStr">
        <is>
          <t>Exhaust fan, ceiling</t>
        </is>
      </c>
      <c r="C226" s="6" t="inlineStr">
        <is>
          <t>EF-25: 25 L/s @ 60 Pa, 15 W</t>
        </is>
      </c>
      <c r="D226" s="6" t="inlineStr">
        <is>
          <t>No.</t>
        </is>
      </c>
      <c r="E226" s="6" t="n">
        <v>8</v>
      </c>
      <c r="F226" s="7" t="n">
        <v>0</v>
      </c>
      <c r="G226" s="6">
        <f>ROUNDUP(E226*(1+F226/100),0)</f>
        <v/>
      </c>
      <c r="H226" s="6" t="inlineStr">
        <is>
          <t>TF</t>
        </is>
      </c>
      <c r="I226" s="6" t="inlineStr">
        <is>
          <t>Tags: EF-TF-02, EF-TF-03, EF-TF-05, EF-TF-06, EF-TF-07, EF-TF-08, EF-TF-10, EF-TF-11</t>
        </is>
      </c>
    </row>
    <row r="227">
      <c r="A227" s="6" t="inlineStr">
        <is>
          <t>F.5</t>
        </is>
      </c>
      <c r="B227" s="6" t="inlineStr">
        <is>
          <t>Exhaust fan, ceiling</t>
        </is>
      </c>
      <c r="C227" s="6" t="inlineStr">
        <is>
          <t>EF-50: 50 L/s @ 80 Pa, 25 W</t>
        </is>
      </c>
      <c r="D227" s="6" t="inlineStr">
        <is>
          <t>No.</t>
        </is>
      </c>
      <c r="E227" s="6" t="n">
        <v>4</v>
      </c>
      <c r="F227" s="7" t="n">
        <v>0</v>
      </c>
      <c r="G227" s="6">
        <f>ROUNDUP(E227*(1+F227/100),0)</f>
        <v/>
      </c>
      <c r="H227" s="6" t="inlineStr">
        <is>
          <t>FF</t>
        </is>
      </c>
      <c r="I227" s="6" t="inlineStr">
        <is>
          <t>Tags: EF-FF-01, EF-FF-06, EF-FF-07, EF-FF-12</t>
        </is>
      </c>
    </row>
    <row r="228">
      <c r="A228" s="6" t="inlineStr">
        <is>
          <t>F.6</t>
        </is>
      </c>
      <c r="B228" s="6" t="inlineStr">
        <is>
          <t>Exhaust fan, ceiling</t>
        </is>
      </c>
      <c r="C228" s="6" t="inlineStr">
        <is>
          <t>EF-50: 50 L/s @ 80 Pa, 25 W</t>
        </is>
      </c>
      <c r="D228" s="6" t="inlineStr">
        <is>
          <t>No.</t>
        </is>
      </c>
      <c r="E228" s="6" t="n">
        <v>4</v>
      </c>
      <c r="F228" s="7" t="n">
        <v>0</v>
      </c>
      <c r="G228" s="6">
        <f>ROUNDUP(E228*(1+F228/100),0)</f>
        <v/>
      </c>
      <c r="H228" s="6" t="inlineStr">
        <is>
          <t>GF</t>
        </is>
      </c>
      <c r="I228" s="6" t="inlineStr">
        <is>
          <t>Tags: EF-GF-01, EF-GF-06, EF-GF-11, EF-GF-15</t>
        </is>
      </c>
    </row>
    <row r="229">
      <c r="A229" s="6" t="inlineStr">
        <is>
          <t>F.7</t>
        </is>
      </c>
      <c r="B229" s="6" t="inlineStr">
        <is>
          <t>Exhaust fan, ceiling</t>
        </is>
      </c>
      <c r="C229" s="6" t="inlineStr">
        <is>
          <t>EF-50: 50 L/s @ 80 Pa, 25 W</t>
        </is>
      </c>
      <c r="D229" s="6" t="inlineStr">
        <is>
          <t>No.</t>
        </is>
      </c>
      <c r="E229" s="6" t="n">
        <v>5</v>
      </c>
      <c r="F229" s="7" t="n">
        <v>0</v>
      </c>
      <c r="G229" s="6">
        <f>ROUNDUP(E229*(1+F229/100),0)</f>
        <v/>
      </c>
      <c r="H229" s="6" t="inlineStr">
        <is>
          <t>SF</t>
        </is>
      </c>
      <c r="I229" s="6" t="inlineStr">
        <is>
          <t>Tags: EF-SF-01, EF-SF-04, EF-SF-05, EF-SF-10, EF-SF-13</t>
        </is>
      </c>
    </row>
    <row r="230">
      <c r="A230" s="6" t="inlineStr">
        <is>
          <t>F.8</t>
        </is>
      </c>
      <c r="B230" s="6" t="inlineStr">
        <is>
          <t>Exhaust fan, ceiling</t>
        </is>
      </c>
      <c r="C230" s="6" t="inlineStr">
        <is>
          <t>EF-50: 50 L/s @ 80 Pa, 25 W</t>
        </is>
      </c>
      <c r="D230" s="6" t="inlineStr">
        <is>
          <t>No.</t>
        </is>
      </c>
      <c r="E230" s="6" t="n">
        <v>4</v>
      </c>
      <c r="F230" s="7" t="n">
        <v>0</v>
      </c>
      <c r="G230" s="6">
        <f>ROUNDUP(E230*(1+F230/100),0)</f>
        <v/>
      </c>
      <c r="H230" s="6" t="inlineStr">
        <is>
          <t>TF</t>
        </is>
      </c>
      <c r="I230" s="6" t="inlineStr">
        <is>
          <t>Tags: EF-TF-01, EF-TF-04, EF-TF-09, EF-TF-12</t>
        </is>
      </c>
    </row>
    <row r="232">
      <c r="A232" s="4" t="inlineStr">
        <is>
          <t>G. REFRIGERANT / CHILLED WATER PIPING AND FITTINGS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6" t="inlineStr">
        <is>
          <t>G.1</t>
        </is>
      </c>
      <c r="B233" s="6" t="inlineStr">
        <is>
          <t>Copper refrigerant pipe, ACR grade, seamless, deoxidised</t>
        </is>
      </c>
      <c r="C233" s="6" t="inlineStr">
        <is>
          <t>OD 6.35 mm (1/4")</t>
        </is>
      </c>
      <c r="D233" s="6" t="inlineStr">
        <is>
          <t>m</t>
        </is>
      </c>
      <c r="E233" s="6" t="n">
        <v>615.1</v>
      </c>
      <c r="F233" s="7" t="n">
        <v>10</v>
      </c>
      <c r="G233" s="6">
        <f>ROUND(E233*(1+F233/100),2)</f>
        <v/>
      </c>
      <c r="H233" s="6" t="inlineStr">
        <is>
          <t>All</t>
        </is>
      </c>
      <c r="I233" s="6" t="inlineStr">
        <is>
          <t>riser + floor + roof runs</t>
        </is>
      </c>
    </row>
    <row r="234">
      <c r="A234" s="6" t="inlineStr">
        <is>
          <t>G.2</t>
        </is>
      </c>
      <c r="B234" s="6" t="inlineStr">
        <is>
          <t>Copper refrigerant pipe, ACR grade, seamless, deoxidised</t>
        </is>
      </c>
      <c r="C234" s="6" t="inlineStr">
        <is>
          <t>OD 9.52 mm (3/8")</t>
        </is>
      </c>
      <c r="D234" s="6" t="inlineStr">
        <is>
          <t>m</t>
        </is>
      </c>
      <c r="E234" s="6" t="n">
        <v>78.2</v>
      </c>
      <c r="F234" s="7" t="n">
        <v>10</v>
      </c>
      <c r="G234" s="6">
        <f>ROUND(E234*(1+F234/100),2)</f>
        <v/>
      </c>
      <c r="H234" s="6" t="inlineStr">
        <is>
          <t>All</t>
        </is>
      </c>
      <c r="I234" s="6" t="inlineStr">
        <is>
          <t>riser + floor + roof runs</t>
        </is>
      </c>
    </row>
    <row r="235">
      <c r="A235" s="6" t="inlineStr">
        <is>
          <t>G.3</t>
        </is>
      </c>
      <c r="B235" s="6" t="inlineStr">
        <is>
          <t>Copper refrigerant pipe, ACR grade, seamless, deoxidised</t>
        </is>
      </c>
      <c r="C235" s="6" t="inlineStr">
        <is>
          <t>OD 12.7 mm (1/2")</t>
        </is>
      </c>
      <c r="D235" s="6" t="inlineStr">
        <is>
          <t>m</t>
        </is>
      </c>
      <c r="E235" s="6" t="n">
        <v>536.9</v>
      </c>
      <c r="F235" s="7" t="n">
        <v>10</v>
      </c>
      <c r="G235" s="6">
        <f>ROUND(E235*(1+F235/100),2)</f>
        <v/>
      </c>
      <c r="H235" s="6" t="inlineStr">
        <is>
          <t>All</t>
        </is>
      </c>
      <c r="I235" s="6" t="inlineStr">
        <is>
          <t>riser + floor + roof runs</t>
        </is>
      </c>
    </row>
    <row r="236">
      <c r="A236" s="6" t="inlineStr">
        <is>
          <t>G.4</t>
        </is>
      </c>
      <c r="B236" s="6" t="inlineStr">
        <is>
          <t>Copper refrigerant fittings (long-radius elbows / couplings), brazed with nitrogen purge</t>
        </is>
      </c>
      <c r="C236" s="6" t="inlineStr">
        <is>
          <t>OD 6.35 mm</t>
        </is>
      </c>
      <c r="D236" s="6" t="inlineStr">
        <is>
          <t>No.</t>
        </is>
      </c>
      <c r="E236" s="6" t="n">
        <v>359</v>
      </c>
      <c r="F236" s="7" t="n">
        <v>10</v>
      </c>
      <c r="G236" s="6">
        <f>ROUNDUP(E236*(1+F236/100),0)</f>
        <v/>
      </c>
      <c r="H236" s="6" t="inlineStr">
        <is>
          <t>All</t>
        </is>
      </c>
      <c r="I236" s="6" t="inlineStr"/>
    </row>
    <row r="237">
      <c r="A237" s="6" t="inlineStr">
        <is>
          <t>G.5</t>
        </is>
      </c>
      <c r="B237" s="6" t="inlineStr">
        <is>
          <t>Copper refrigerant fittings (long-radius elbows / couplings), brazed with nitrogen purge</t>
        </is>
      </c>
      <c r="C237" s="6" t="inlineStr">
        <is>
          <t>OD 9.52 mm</t>
        </is>
      </c>
      <c r="D237" s="6" t="inlineStr">
        <is>
          <t>No.</t>
        </is>
      </c>
      <c r="E237" s="6" t="n">
        <v>231</v>
      </c>
      <c r="F237" s="7" t="n">
        <v>10</v>
      </c>
      <c r="G237" s="6">
        <f>ROUNDUP(E237*(1+F237/100),0)</f>
        <v/>
      </c>
      <c r="H237" s="6" t="inlineStr">
        <is>
          <t>All</t>
        </is>
      </c>
      <c r="I237" s="6" t="inlineStr"/>
    </row>
    <row r="238">
      <c r="A238" s="6" t="inlineStr">
        <is>
          <t>G.6</t>
        </is>
      </c>
      <c r="B238" s="6" t="inlineStr">
        <is>
          <t>Copper refrigerant fittings (long-radius elbows / couplings), brazed with nitrogen purge</t>
        </is>
      </c>
      <c r="C238" s="6" t="inlineStr">
        <is>
          <t>OD 12.7 mm</t>
        </is>
      </c>
      <c r="D238" s="6" t="inlineStr">
        <is>
          <t>No.</t>
        </is>
      </c>
      <c r="E238" s="6" t="n">
        <v>128</v>
      </c>
      <c r="F238" s="7" t="n">
        <v>10</v>
      </c>
      <c r="G238" s="6">
        <f>ROUNDUP(E238*(1+F238/100),0)</f>
        <v/>
      </c>
      <c r="H238" s="6" t="inlineStr">
        <is>
          <t>All</t>
        </is>
      </c>
      <c r="I238" s="6" t="inlineStr"/>
    </row>
    <row r="240">
      <c r="A240" s="4" t="inlineStr">
        <is>
          <t>H. THERMAL INSULATION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6" t="inlineStr">
        <is>
          <t>H.1</t>
        </is>
      </c>
      <c r="B241" s="6" t="inlineStr">
        <is>
          <t>Duct insulation (supply / return / fresh air)</t>
        </is>
      </c>
      <c r="C241" s="6" t="inlineStr">
        <is>
          <t>25 mm glass wool 24 kg/m3 with FSK facing (external wrap)</t>
        </is>
      </c>
      <c r="D241" s="6" t="inlineStr">
        <is>
          <t>m²</t>
        </is>
      </c>
      <c r="E241" s="6" t="n">
        <v>23.31</v>
      </c>
      <c r="F241" s="7" t="n">
        <v>10</v>
      </c>
      <c r="G241" s="6">
        <f>ROUND(E241*(1+F241/100),2)</f>
        <v/>
      </c>
      <c r="H241" s="6" t="inlineStr">
        <is>
          <t>FF</t>
        </is>
      </c>
      <c r="I241" s="6" t="inlineStr"/>
    </row>
    <row r="242">
      <c r="A242" s="6" t="inlineStr">
        <is>
          <t>H.2</t>
        </is>
      </c>
      <c r="B242" s="6" t="inlineStr">
        <is>
          <t>Duct insulation (supply / return / fresh air)</t>
        </is>
      </c>
      <c r="C242" s="6" t="inlineStr">
        <is>
          <t>25 mm glass wool 24 kg/m3 with FSK facing (hot outdoor air)</t>
        </is>
      </c>
      <c r="D242" s="6" t="inlineStr">
        <is>
          <t>m²</t>
        </is>
      </c>
      <c r="E242" s="6" t="n">
        <v>3.9</v>
      </c>
      <c r="F242" s="7" t="n">
        <v>10</v>
      </c>
      <c r="G242" s="6">
        <f>ROUND(E242*(1+F242/100),2)</f>
        <v/>
      </c>
      <c r="H242" s="6" t="inlineStr">
        <is>
          <t>FF</t>
        </is>
      </c>
      <c r="I242" s="6" t="inlineStr"/>
    </row>
    <row r="243">
      <c r="A243" s="6" t="inlineStr">
        <is>
          <t>H.3</t>
        </is>
      </c>
      <c r="B243" s="6" t="inlineStr">
        <is>
          <t>Duct insulation (supply / return / fresh air)</t>
        </is>
      </c>
      <c r="C243" s="6" t="inlineStr">
        <is>
          <t>25 mm glass wool 24 kg/m3 with FSK facing (external wrap)</t>
        </is>
      </c>
      <c r="D243" s="6" t="inlineStr">
        <is>
          <t>m²</t>
        </is>
      </c>
      <c r="E243" s="6" t="n">
        <v>23.5</v>
      </c>
      <c r="F243" s="7" t="n">
        <v>10</v>
      </c>
      <c r="G243" s="6">
        <f>ROUND(E243*(1+F243/100),2)</f>
        <v/>
      </c>
      <c r="H243" s="6" t="inlineStr">
        <is>
          <t>GF</t>
        </is>
      </c>
      <c r="I243" s="6" t="inlineStr"/>
    </row>
    <row r="244">
      <c r="A244" s="6" t="inlineStr">
        <is>
          <t>H.4</t>
        </is>
      </c>
      <c r="B244" s="6" t="inlineStr">
        <is>
          <t>Duct insulation (supply / return / fresh air)</t>
        </is>
      </c>
      <c r="C244" s="6" t="inlineStr">
        <is>
          <t>25 mm glass wool 24 kg/m3 with FSK facing (hot outdoor air)</t>
        </is>
      </c>
      <c r="D244" s="6" t="inlineStr">
        <is>
          <t>m²</t>
        </is>
      </c>
      <c r="E244" s="6" t="n">
        <v>3.38</v>
      </c>
      <c r="F244" s="7" t="n">
        <v>10</v>
      </c>
      <c r="G244" s="6">
        <f>ROUND(E244*(1+F244/100),2)</f>
        <v/>
      </c>
      <c r="H244" s="6" t="inlineStr">
        <is>
          <t>GF</t>
        </is>
      </c>
      <c r="I244" s="6" t="inlineStr"/>
    </row>
    <row r="245">
      <c r="A245" s="6" t="inlineStr">
        <is>
          <t>H.5</t>
        </is>
      </c>
      <c r="B245" s="6" t="inlineStr">
        <is>
          <t>Duct insulation (supply / return / fresh air)</t>
        </is>
      </c>
      <c r="C245" s="6" t="inlineStr">
        <is>
          <t>25 mm glass wool 24 kg/m3 with FSK facing (external wrap)</t>
        </is>
      </c>
      <c r="D245" s="6" t="inlineStr">
        <is>
          <t>m²</t>
        </is>
      </c>
      <c r="E245" s="6" t="n">
        <v>25.59</v>
      </c>
      <c r="F245" s="7" t="n">
        <v>10</v>
      </c>
      <c r="G245" s="6">
        <f>ROUND(E245*(1+F245/100),2)</f>
        <v/>
      </c>
      <c r="H245" s="6" t="inlineStr">
        <is>
          <t>SF</t>
        </is>
      </c>
      <c r="I245" s="6" t="inlineStr"/>
    </row>
    <row r="246">
      <c r="A246" s="6" t="inlineStr">
        <is>
          <t>H.6</t>
        </is>
      </c>
      <c r="B246" s="6" t="inlineStr">
        <is>
          <t>Duct insulation (supply / return / fresh air)</t>
        </is>
      </c>
      <c r="C246" s="6" t="inlineStr">
        <is>
          <t>25 mm glass wool 24 kg/m3 with FSK facing (hot outdoor air)</t>
        </is>
      </c>
      <c r="D246" s="6" t="inlineStr">
        <is>
          <t>m²</t>
        </is>
      </c>
      <c r="E246" s="6" t="n">
        <v>4.72</v>
      </c>
      <c r="F246" s="7" t="n">
        <v>10</v>
      </c>
      <c r="G246" s="6">
        <f>ROUND(E246*(1+F246/100),2)</f>
        <v/>
      </c>
      <c r="H246" s="6" t="inlineStr">
        <is>
          <t>SF</t>
        </is>
      </c>
      <c r="I246" s="6" t="inlineStr"/>
    </row>
    <row r="247">
      <c r="A247" s="6" t="inlineStr">
        <is>
          <t>H.7</t>
        </is>
      </c>
      <c r="B247" s="6" t="inlineStr">
        <is>
          <t>Duct insulation (supply / return / fresh air)</t>
        </is>
      </c>
      <c r="C247" s="6" t="inlineStr">
        <is>
          <t>25 mm glass wool 24 kg/m3 with FSK facing (external wrap)</t>
        </is>
      </c>
      <c r="D247" s="6" t="inlineStr">
        <is>
          <t>m²</t>
        </is>
      </c>
      <c r="E247" s="6" t="n">
        <v>25.71</v>
      </c>
      <c r="F247" s="7" t="n">
        <v>10</v>
      </c>
      <c r="G247" s="6">
        <f>ROUND(E247*(1+F247/100),2)</f>
        <v/>
      </c>
      <c r="H247" s="6" t="inlineStr">
        <is>
          <t>TF</t>
        </is>
      </c>
      <c r="I247" s="6" t="inlineStr"/>
    </row>
    <row r="248">
      <c r="A248" s="6" t="inlineStr">
        <is>
          <t>H.8</t>
        </is>
      </c>
      <c r="B248" s="6" t="inlineStr">
        <is>
          <t>Duct insulation (supply / return / fresh air)</t>
        </is>
      </c>
      <c r="C248" s="6" t="inlineStr">
        <is>
          <t>25 mm glass wool 24 kg/m3 with FSK facing (hot outdoor air)</t>
        </is>
      </c>
      <c r="D248" s="6" t="inlineStr">
        <is>
          <t>m²</t>
        </is>
      </c>
      <c r="E248" s="6" t="n">
        <v>4.5</v>
      </c>
      <c r="F248" s="7" t="n">
        <v>10</v>
      </c>
      <c r="G248" s="6">
        <f>ROUND(E248*(1+F248/100),2)</f>
        <v/>
      </c>
      <c r="H248" s="6" t="inlineStr">
        <is>
          <t>TF</t>
        </is>
      </c>
      <c r="I248" s="6" t="inlineStr"/>
    </row>
    <row r="249">
      <c r="A249" s="6" t="inlineStr">
        <is>
          <t>H.9</t>
        </is>
      </c>
      <c r="B249" s="6" t="inlineStr">
        <is>
          <t>Closed-cell elastomeric pipe insulation, UV-protected outdoors</t>
        </is>
      </c>
      <c r="C249" s="6" t="inlineStr">
        <is>
          <t>for OD 6.35 mm, 13 mm thick</t>
        </is>
      </c>
      <c r="D249" s="6" t="inlineStr">
        <is>
          <t>m</t>
        </is>
      </c>
      <c r="E249" s="6" t="n">
        <v>615.1</v>
      </c>
      <c r="F249" s="7" t="n">
        <v>10</v>
      </c>
      <c r="G249" s="6">
        <f>ROUND(E249*(1+F249/100),2)</f>
        <v/>
      </c>
      <c r="H249" s="6" t="inlineStr">
        <is>
          <t>All</t>
        </is>
      </c>
      <c r="I249" s="6" t="inlineStr"/>
    </row>
    <row r="250">
      <c r="A250" s="6" t="inlineStr">
        <is>
          <t>H.10</t>
        </is>
      </c>
      <c r="B250" s="6" t="inlineStr">
        <is>
          <t>Closed-cell elastomeric pipe insulation, UV-protected outdoors</t>
        </is>
      </c>
      <c r="C250" s="6" t="inlineStr">
        <is>
          <t>for OD 9.52 mm, 19 mm thick</t>
        </is>
      </c>
      <c r="D250" s="6" t="inlineStr">
        <is>
          <t>m</t>
        </is>
      </c>
      <c r="E250" s="6" t="n">
        <v>78.2</v>
      </c>
      <c r="F250" s="7" t="n">
        <v>10</v>
      </c>
      <c r="G250" s="6">
        <f>ROUND(E250*(1+F250/100),2)</f>
        <v/>
      </c>
      <c r="H250" s="6" t="inlineStr">
        <is>
          <t>All</t>
        </is>
      </c>
      <c r="I250" s="6" t="inlineStr"/>
    </row>
    <row r="251">
      <c r="A251" s="6" t="inlineStr">
        <is>
          <t>H.11</t>
        </is>
      </c>
      <c r="B251" s="6" t="inlineStr">
        <is>
          <t>Closed-cell elastomeric pipe insulation, UV-protected outdoors</t>
        </is>
      </c>
      <c r="C251" s="6" t="inlineStr">
        <is>
          <t>for OD 12.7 mm, 19 mm thick</t>
        </is>
      </c>
      <c r="D251" s="6" t="inlineStr">
        <is>
          <t>m</t>
        </is>
      </c>
      <c r="E251" s="6" t="n">
        <v>536.9</v>
      </c>
      <c r="F251" s="7" t="n">
        <v>10</v>
      </c>
      <c r="G251" s="6">
        <f>ROUND(E251*(1+F251/100),2)</f>
        <v/>
      </c>
      <c r="H251" s="6" t="inlineStr">
        <is>
          <t>All</t>
        </is>
      </c>
      <c r="I251" s="6" t="inlineStr"/>
    </row>
    <row r="253">
      <c r="A253" s="4" t="inlineStr">
        <is>
          <t>I. CONDENSATE DRAIN</t>
        </is>
      </c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6" t="inlineStr">
        <is>
          <t>I.1</t>
        </is>
      </c>
      <c r="B254" s="6" t="inlineStr">
        <is>
          <t>uPVC condensate pipe incl. fittings, slope 1 %</t>
        </is>
      </c>
      <c r="C254" s="6" t="inlineStr">
        <is>
          <t>Ø25, uPVC Class E / Sch.40, insulated 9 mm where run in ceiling void</t>
        </is>
      </c>
      <c r="D254" s="6" t="inlineStr">
        <is>
          <t>m</t>
        </is>
      </c>
      <c r="E254" s="6" t="n">
        <v>50.44</v>
      </c>
      <c r="F254" s="7" t="n">
        <v>10</v>
      </c>
      <c r="G254" s="6">
        <f>ROUND(E254*(1+F254/100),2)</f>
        <v/>
      </c>
      <c r="H254" s="6" t="inlineStr">
        <is>
          <t>FF</t>
        </is>
      </c>
      <c r="I254" s="6" t="inlineStr">
        <is>
          <t>Tags: CD-IU-FF-01, CD-IU-FF-02, CD-IU-FF-03, CD-IU-FF-04, CD-IU-FF-05, CD-IU-FF-06, CD-IU-FF-07, CD-IU-FF-08, CD-IU-FF-09, CD-IU-FF-10, CD-IU-FF-11, CD-IU-FF-12</t>
        </is>
      </c>
    </row>
    <row r="255">
      <c r="A255" s="6" t="inlineStr">
        <is>
          <t>I.2</t>
        </is>
      </c>
      <c r="B255" s="6" t="inlineStr">
        <is>
          <t>Condensate trap / P-trap with cleanout at unit</t>
        </is>
      </c>
      <c r="C255" s="6" t="inlineStr">
        <is>
          <t>Ø25</t>
        </is>
      </c>
      <c r="D255" s="6" t="inlineStr">
        <is>
          <t>No.</t>
        </is>
      </c>
      <c r="E255" s="6" t="n">
        <v>12</v>
      </c>
      <c r="F255" s="7" t="n">
        <v>10</v>
      </c>
      <c r="G255" s="6">
        <f>ROUNDUP(E255*(1+F255/100),0)</f>
        <v/>
      </c>
      <c r="H255" s="6" t="inlineStr">
        <is>
          <t>FF</t>
        </is>
      </c>
      <c r="I255" s="6" t="inlineStr"/>
    </row>
    <row r="256">
      <c r="A256" s="6" t="inlineStr">
        <is>
          <t>I.3</t>
        </is>
      </c>
      <c r="B256" s="6" t="inlineStr">
        <is>
          <t>uPVC condensate pipe incl. fittings, slope 1 %</t>
        </is>
      </c>
      <c r="C256" s="6" t="inlineStr">
        <is>
          <t>Ø25, uPVC Class E / Sch.40, insulated 9 mm where run in ceiling void</t>
        </is>
      </c>
      <c r="D256" s="6" t="inlineStr">
        <is>
          <t>m</t>
        </is>
      </c>
      <c r="E256" s="6" t="n">
        <v>52.03</v>
      </c>
      <c r="F256" s="7" t="n">
        <v>10</v>
      </c>
      <c r="G256" s="6">
        <f>ROUND(E256*(1+F256/100),2)</f>
        <v/>
      </c>
      <c r="H256" s="6" t="inlineStr">
        <is>
          <t>GF</t>
        </is>
      </c>
      <c r="I256" s="6" t="inlineStr">
        <is>
          <t>Tags: CD-IU-GF-01, CD-IU-GF-02, CD-IU-GF-03, CD-IU-GF-04, CD-IU-GF-05, CD-IU-GF-06, CD-IU-GF-07, CD-IU-GF-08, CD-IU-GF-09, CD-IU-GF-10, CD-IU-GF-11, CD-IU-GF-12</t>
        </is>
      </c>
    </row>
    <row r="257">
      <c r="A257" s="6" t="inlineStr">
        <is>
          <t>I.4</t>
        </is>
      </c>
      <c r="B257" s="6" t="inlineStr">
        <is>
          <t>Condensate trap / P-trap with cleanout at unit</t>
        </is>
      </c>
      <c r="C257" s="6" t="inlineStr">
        <is>
          <t>Ø25</t>
        </is>
      </c>
      <c r="D257" s="6" t="inlineStr">
        <is>
          <t>No.</t>
        </is>
      </c>
      <c r="E257" s="6" t="n">
        <v>12</v>
      </c>
      <c r="F257" s="7" t="n">
        <v>10</v>
      </c>
      <c r="G257" s="6">
        <f>ROUNDUP(E257*(1+F257/100),0)</f>
        <v/>
      </c>
      <c r="H257" s="6" t="inlineStr">
        <is>
          <t>GF</t>
        </is>
      </c>
      <c r="I257" s="6" t="inlineStr"/>
    </row>
    <row r="258">
      <c r="A258" s="6" t="inlineStr">
        <is>
          <t>I.5</t>
        </is>
      </c>
      <c r="B258" s="6" t="inlineStr">
        <is>
          <t>uPVC condensate pipe incl. fittings, slope 1 %</t>
        </is>
      </c>
      <c r="C258" s="6" t="inlineStr">
        <is>
          <t>Ø25, uPVC Class E / Sch.40, insulated 9 mm where run in ceiling void</t>
        </is>
      </c>
      <c r="D258" s="6" t="inlineStr">
        <is>
          <t>m</t>
        </is>
      </c>
      <c r="E258" s="6" t="n">
        <v>61.11</v>
      </c>
      <c r="F258" s="7" t="n">
        <v>10</v>
      </c>
      <c r="G258" s="6">
        <f>ROUND(E258*(1+F258/100),2)</f>
        <v/>
      </c>
      <c r="H258" s="6" t="inlineStr">
        <is>
          <t>SF</t>
        </is>
      </c>
      <c r="I258" s="6" t="inlineStr">
        <is>
          <t>Tags: CD-IU-SF-01, CD-IU-SF-02, CD-IU-SF-03, CD-IU-SF-04, CD-IU-SF-05, CD-IU-SF-06, CD-IU-SF-07, CD-IU-SF-08, CD-IU-SF-09, CD-IU-SF-10, CD-IU-SF-11, CD-IU-SF-12, CD-IU-SF-13</t>
        </is>
      </c>
    </row>
    <row r="259">
      <c r="A259" s="6" t="inlineStr">
        <is>
          <t>I.6</t>
        </is>
      </c>
      <c r="B259" s="6" t="inlineStr">
        <is>
          <t>Condensate trap / P-trap with cleanout at unit</t>
        </is>
      </c>
      <c r="C259" s="6" t="inlineStr">
        <is>
          <t>Ø25</t>
        </is>
      </c>
      <c r="D259" s="6" t="inlineStr">
        <is>
          <t>No.</t>
        </is>
      </c>
      <c r="E259" s="6" t="n">
        <v>13</v>
      </c>
      <c r="F259" s="7" t="n">
        <v>10</v>
      </c>
      <c r="G259" s="6">
        <f>ROUNDUP(E259*(1+F259/100),0)</f>
        <v/>
      </c>
      <c r="H259" s="6" t="inlineStr">
        <is>
          <t>SF</t>
        </is>
      </c>
      <c r="I259" s="6" t="inlineStr"/>
    </row>
    <row r="260">
      <c r="A260" s="6" t="inlineStr">
        <is>
          <t>I.7</t>
        </is>
      </c>
      <c r="B260" s="6" t="inlineStr">
        <is>
          <t>uPVC condensate pipe incl. fittings, slope 1 %</t>
        </is>
      </c>
      <c r="C260" s="6" t="inlineStr">
        <is>
          <t>Ø25, uPVC Class E / Sch.40, insulated 9 mm where run in ceiling void</t>
        </is>
      </c>
      <c r="D260" s="6" t="inlineStr">
        <is>
          <t>m</t>
        </is>
      </c>
      <c r="E260" s="6" t="n">
        <v>63.2</v>
      </c>
      <c r="F260" s="7" t="n">
        <v>10</v>
      </c>
      <c r="G260" s="6">
        <f>ROUND(E260*(1+F260/100),2)</f>
        <v/>
      </c>
      <c r="H260" s="6" t="inlineStr">
        <is>
          <t>TF</t>
        </is>
      </c>
      <c r="I260" s="6" t="inlineStr">
        <is>
          <t>Tags: CD-IU-TF-01, CD-IU-TF-02, CD-IU-TF-03, CD-IU-TF-04, CD-IU-TF-05, CD-IU-TF-06, CD-IU-TF-07, CD-IU-TF-08, CD-IU-TF-09, CD-IU-TF-10, CD-IU-TF-11, CD-IU-TF-12</t>
        </is>
      </c>
    </row>
    <row r="261">
      <c r="A261" s="6" t="inlineStr">
        <is>
          <t>I.8</t>
        </is>
      </c>
      <c r="B261" s="6" t="inlineStr">
        <is>
          <t>Condensate trap / P-trap with cleanout at unit</t>
        </is>
      </c>
      <c r="C261" s="6" t="inlineStr">
        <is>
          <t>Ø25</t>
        </is>
      </c>
      <c r="D261" s="6" t="inlineStr">
        <is>
          <t>No.</t>
        </is>
      </c>
      <c r="E261" s="6" t="n">
        <v>12</v>
      </c>
      <c r="F261" s="7" t="n">
        <v>10</v>
      </c>
      <c r="G261" s="6">
        <f>ROUNDUP(E261*(1+F261/100),0)</f>
        <v/>
      </c>
      <c r="H261" s="6" t="inlineStr">
        <is>
          <t>TF</t>
        </is>
      </c>
      <c r="I261" s="6" t="inlineStr"/>
    </row>
    <row r="263">
      <c r="A263" s="4" t="inlineStr">
        <is>
          <t>J. SUPPORTS AND HANGERS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6" t="inlineStr">
        <is>
          <t>J.1</t>
        </is>
      </c>
      <c r="B264" s="6" t="inlineStr">
        <is>
          <t>Duct hangers: threaded rod + angle/strap, galvanised</t>
        </is>
      </c>
      <c r="C264" s="6" t="inlineStr">
        <is>
          <t>@ 2.4 m max (pairs)</t>
        </is>
      </c>
      <c r="D264" s="6" t="inlineStr">
        <is>
          <t>No.</t>
        </is>
      </c>
      <c r="E264" s="6" t="n">
        <v>17</v>
      </c>
      <c r="F264" s="7" t="n">
        <v>5</v>
      </c>
      <c r="G264" s="6">
        <f>ROUNDUP(E264*(1+F264/100),0)</f>
        <v/>
      </c>
      <c r="H264" s="6" t="inlineStr">
        <is>
          <t>FF</t>
        </is>
      </c>
      <c r="I264" s="6" t="inlineStr"/>
    </row>
    <row r="265">
      <c r="A265" s="6" t="inlineStr">
        <is>
          <t>J.2</t>
        </is>
      </c>
      <c r="B265" s="6" t="inlineStr">
        <is>
          <t>Duct hangers: threaded rod + angle/strap, galvanised</t>
        </is>
      </c>
      <c r="C265" s="6" t="inlineStr">
        <is>
          <t>@ 2.4 m max (pairs)</t>
        </is>
      </c>
      <c r="D265" s="6" t="inlineStr">
        <is>
          <t>No.</t>
        </is>
      </c>
      <c r="E265" s="6" t="n">
        <v>20</v>
      </c>
      <c r="F265" s="7" t="n">
        <v>5</v>
      </c>
      <c r="G265" s="6">
        <f>ROUNDUP(E265*(1+F265/100),0)</f>
        <v/>
      </c>
      <c r="H265" s="6" t="inlineStr">
        <is>
          <t>GF</t>
        </is>
      </c>
      <c r="I265" s="6" t="inlineStr"/>
    </row>
    <row r="266">
      <c r="A266" s="6" t="inlineStr">
        <is>
          <t>J.3</t>
        </is>
      </c>
      <c r="B266" s="6" t="inlineStr">
        <is>
          <t>Duct hangers: threaded rod + angle/strap, galvanised</t>
        </is>
      </c>
      <c r="C266" s="6" t="inlineStr">
        <is>
          <t>@ 2.4 m max (pairs)</t>
        </is>
      </c>
      <c r="D266" s="6" t="inlineStr">
        <is>
          <t>No.</t>
        </is>
      </c>
      <c r="E266" s="6" t="n">
        <v>19</v>
      </c>
      <c r="F266" s="7" t="n">
        <v>5</v>
      </c>
      <c r="G266" s="6">
        <f>ROUNDUP(E266*(1+F266/100),0)</f>
        <v/>
      </c>
      <c r="H266" s="6" t="inlineStr">
        <is>
          <t>SF</t>
        </is>
      </c>
      <c r="I266" s="6" t="inlineStr"/>
    </row>
    <row r="267">
      <c r="A267" s="6" t="inlineStr">
        <is>
          <t>J.4</t>
        </is>
      </c>
      <c r="B267" s="6" t="inlineStr">
        <is>
          <t>Duct hangers: threaded rod + angle/strap, galvanised</t>
        </is>
      </c>
      <c r="C267" s="6" t="inlineStr">
        <is>
          <t>@ 2.4 m max (pairs)</t>
        </is>
      </c>
      <c r="D267" s="6" t="inlineStr">
        <is>
          <t>No.</t>
        </is>
      </c>
      <c r="E267" s="6" t="n">
        <v>18</v>
      </c>
      <c r="F267" s="7" t="n">
        <v>5</v>
      </c>
      <c r="G267" s="6">
        <f>ROUNDUP(E267*(1+F267/100),0)</f>
        <v/>
      </c>
      <c r="H267" s="6" t="inlineStr">
        <is>
          <t>TF</t>
        </is>
      </c>
      <c r="I267" s="6" t="inlineStr"/>
    </row>
    <row r="268">
      <c r="A268" s="6" t="inlineStr">
        <is>
          <t>J.5</t>
        </is>
      </c>
      <c r="B268" s="6" t="inlineStr">
        <is>
          <t>Refrigerant pipe supports / clamps with insulation saddles</t>
        </is>
      </c>
      <c r="C268" s="6" t="inlineStr">
        <is>
          <t>@ 1.2 m</t>
        </is>
      </c>
      <c r="D268" s="6" t="inlineStr">
        <is>
          <t>No.</t>
        </is>
      </c>
      <c r="E268" s="6" t="n">
        <v>513</v>
      </c>
      <c r="F268" s="7" t="n">
        <v>5</v>
      </c>
      <c r="G268" s="6">
        <f>ROUNDUP(E268*(1+F268/100),0)</f>
        <v/>
      </c>
      <c r="H268" s="6" t="inlineStr">
        <is>
          <t>All</t>
        </is>
      </c>
      <c r="I268" s="6" t="inlineStr"/>
    </row>
    <row r="269">
      <c r="A269" s="6" t="inlineStr">
        <is>
          <t>J.6</t>
        </is>
      </c>
      <c r="B269" s="6" t="inlineStr">
        <is>
          <t>Condensate pipe clips</t>
        </is>
      </c>
      <c r="C269" s="6" t="inlineStr">
        <is>
          <t>@ 1.0 m</t>
        </is>
      </c>
      <c r="D269" s="6" t="inlineStr">
        <is>
          <t>No.</t>
        </is>
      </c>
      <c r="E269" s="6" t="n">
        <v>227</v>
      </c>
      <c r="F269" s="7" t="n">
        <v>5</v>
      </c>
      <c r="G269" s="6">
        <f>ROUNDUP(E269*(1+F269/100),0)</f>
        <v/>
      </c>
      <c r="H269" s="6" t="inlineStr">
        <is>
          <t>All</t>
        </is>
      </c>
      <c r="I269" s="6" t="inlineStr"/>
    </row>
    <row r="270">
      <c r="A270" s="6" t="inlineStr">
        <is>
          <t>J.7</t>
        </is>
      </c>
      <c r="B270" s="6" t="inlineStr">
        <is>
          <t>Outdoor unit steel support frame / concrete plinth with anti-vibration pads</t>
        </is>
      </c>
      <c r="C270" s="6" t="inlineStr">
        <is>
          <t>Galvanised, by structural check</t>
        </is>
      </c>
      <c r="D270" s="6" t="inlineStr">
        <is>
          <t>No.</t>
        </is>
      </c>
      <c r="E270" s="6" t="n">
        <v>49</v>
      </c>
      <c r="F270" s="7" t="n">
        <v>5</v>
      </c>
      <c r="G270" s="6">
        <f>ROUNDUP(E270*(1+F270/100),0)</f>
        <v/>
      </c>
      <c r="H270" s="6" t="inlineStr">
        <is>
          <t>Roof</t>
        </is>
      </c>
      <c r="I270" s="6" t="inlineStr"/>
    </row>
    <row r="272">
      <c r="A272" s="4" t="inlineStr">
        <is>
          <t>K. CONTROLS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6" t="inlineStr">
        <is>
          <t>K.1</t>
        </is>
      </c>
      <c r="B273" s="6" t="inlineStr">
        <is>
          <t>Wired room controller</t>
        </is>
      </c>
      <c r="C273" s="6" t="inlineStr">
        <is>
          <t>wired controller</t>
        </is>
      </c>
      <c r="D273" s="6" t="inlineStr">
        <is>
          <t>No.</t>
        </is>
      </c>
      <c r="E273" s="6" t="n">
        <v>1</v>
      </c>
      <c r="F273" s="7" t="n">
        <v>0</v>
      </c>
      <c r="G273" s="6">
        <f>ROUNDUP(E273*(1+F273/100),0)</f>
        <v/>
      </c>
      <c r="H273" s="6" t="inlineStr">
        <is>
          <t>Z-GF-01</t>
        </is>
      </c>
      <c r="I273" s="6" t="inlineStr">
        <is>
          <t>Tags: T-GF-01</t>
        </is>
      </c>
    </row>
    <row r="274">
      <c r="A274" s="6" t="inlineStr">
        <is>
          <t>K.2</t>
        </is>
      </c>
      <c r="B274" s="6" t="inlineStr">
        <is>
          <t>Wired room controller</t>
        </is>
      </c>
      <c r="C274" s="6" t="inlineStr">
        <is>
          <t>wired controller</t>
        </is>
      </c>
      <c r="D274" s="6" t="inlineStr">
        <is>
          <t>No.</t>
        </is>
      </c>
      <c r="E274" s="6" t="n">
        <v>1</v>
      </c>
      <c r="F274" s="7" t="n">
        <v>0</v>
      </c>
      <c r="G274" s="6">
        <f>ROUNDUP(E274*(1+F274/100),0)</f>
        <v/>
      </c>
      <c r="H274" s="6" t="inlineStr">
        <is>
          <t>Z-GF-02</t>
        </is>
      </c>
      <c r="I274" s="6" t="inlineStr">
        <is>
          <t>Tags: T-GF-02</t>
        </is>
      </c>
    </row>
    <row r="275">
      <c r="A275" s="6" t="inlineStr">
        <is>
          <t>K.3</t>
        </is>
      </c>
      <c r="B275" s="6" t="inlineStr">
        <is>
          <t>Wired room controller</t>
        </is>
      </c>
      <c r="C275" s="6" t="inlineStr">
        <is>
          <t>wired controller</t>
        </is>
      </c>
      <c r="D275" s="6" t="inlineStr">
        <is>
          <t>No.</t>
        </is>
      </c>
      <c r="E275" s="6" t="n">
        <v>1</v>
      </c>
      <c r="F275" s="7" t="n">
        <v>0</v>
      </c>
      <c r="G275" s="6">
        <f>ROUNDUP(E275*(1+F275/100),0)</f>
        <v/>
      </c>
      <c r="H275" s="6" t="inlineStr">
        <is>
          <t>Z-GF-03</t>
        </is>
      </c>
      <c r="I275" s="6" t="inlineStr">
        <is>
          <t>Tags: T-GF-03</t>
        </is>
      </c>
    </row>
    <row r="276">
      <c r="A276" s="6" t="inlineStr">
        <is>
          <t>K.4</t>
        </is>
      </c>
      <c r="B276" s="6" t="inlineStr">
        <is>
          <t>Wired room controller</t>
        </is>
      </c>
      <c r="C276" s="6" t="inlineStr">
        <is>
          <t>wired controller</t>
        </is>
      </c>
      <c r="D276" s="6" t="inlineStr">
        <is>
          <t>No.</t>
        </is>
      </c>
      <c r="E276" s="6" t="n">
        <v>1</v>
      </c>
      <c r="F276" s="7" t="n">
        <v>0</v>
      </c>
      <c r="G276" s="6">
        <f>ROUNDUP(E276*(1+F276/100),0)</f>
        <v/>
      </c>
      <c r="H276" s="6" t="inlineStr">
        <is>
          <t>Z-GF-04</t>
        </is>
      </c>
      <c r="I276" s="6" t="inlineStr">
        <is>
          <t>Tags: T-GF-04</t>
        </is>
      </c>
    </row>
    <row r="277">
      <c r="A277" s="6" t="inlineStr">
        <is>
          <t>K.5</t>
        </is>
      </c>
      <c r="B277" s="6" t="inlineStr">
        <is>
          <t>Wired room controller</t>
        </is>
      </c>
      <c r="C277" s="6" t="inlineStr">
        <is>
          <t>wired controller</t>
        </is>
      </c>
      <c r="D277" s="6" t="inlineStr">
        <is>
          <t>No.</t>
        </is>
      </c>
      <c r="E277" s="6" t="n">
        <v>1</v>
      </c>
      <c r="F277" s="7" t="n">
        <v>0</v>
      </c>
      <c r="G277" s="6">
        <f>ROUNDUP(E277*(1+F277/100),0)</f>
        <v/>
      </c>
      <c r="H277" s="6" t="inlineStr">
        <is>
          <t>Z-GF-05</t>
        </is>
      </c>
      <c r="I277" s="6" t="inlineStr">
        <is>
          <t>Tags: T-GF-05</t>
        </is>
      </c>
    </row>
    <row r="278">
      <c r="A278" s="6" t="inlineStr">
        <is>
          <t>K.6</t>
        </is>
      </c>
      <c r="B278" s="6" t="inlineStr">
        <is>
          <t>Wired room controller</t>
        </is>
      </c>
      <c r="C278" s="6" t="inlineStr">
        <is>
          <t>wired controller</t>
        </is>
      </c>
      <c r="D278" s="6" t="inlineStr">
        <is>
          <t>No.</t>
        </is>
      </c>
      <c r="E278" s="6" t="n">
        <v>1</v>
      </c>
      <c r="F278" s="7" t="n">
        <v>0</v>
      </c>
      <c r="G278" s="6">
        <f>ROUNDUP(E278*(1+F278/100),0)</f>
        <v/>
      </c>
      <c r="H278" s="6" t="inlineStr">
        <is>
          <t>Z-GF-06</t>
        </is>
      </c>
      <c r="I278" s="6" t="inlineStr">
        <is>
          <t>Tags: T-GF-06</t>
        </is>
      </c>
    </row>
    <row r="279">
      <c r="A279" s="6" t="inlineStr">
        <is>
          <t>K.7</t>
        </is>
      </c>
      <c r="B279" s="6" t="inlineStr">
        <is>
          <t>Wired room controller</t>
        </is>
      </c>
      <c r="C279" s="6" t="inlineStr">
        <is>
          <t>wired controller</t>
        </is>
      </c>
      <c r="D279" s="6" t="inlineStr">
        <is>
          <t>No.</t>
        </is>
      </c>
      <c r="E279" s="6" t="n">
        <v>1</v>
      </c>
      <c r="F279" s="7" t="n">
        <v>0</v>
      </c>
      <c r="G279" s="6">
        <f>ROUNDUP(E279*(1+F279/100),0)</f>
        <v/>
      </c>
      <c r="H279" s="6" t="inlineStr">
        <is>
          <t>Z-GF-07</t>
        </is>
      </c>
      <c r="I279" s="6" t="inlineStr">
        <is>
          <t>Tags: T-GF-07</t>
        </is>
      </c>
    </row>
    <row r="280">
      <c r="A280" s="6" t="inlineStr">
        <is>
          <t>K.8</t>
        </is>
      </c>
      <c r="B280" s="6" t="inlineStr">
        <is>
          <t>Wired room controller</t>
        </is>
      </c>
      <c r="C280" s="6" t="inlineStr">
        <is>
          <t>wired controller</t>
        </is>
      </c>
      <c r="D280" s="6" t="inlineStr">
        <is>
          <t>No.</t>
        </is>
      </c>
      <c r="E280" s="6" t="n">
        <v>1</v>
      </c>
      <c r="F280" s="7" t="n">
        <v>0</v>
      </c>
      <c r="G280" s="6">
        <f>ROUNDUP(E280*(1+F280/100),0)</f>
        <v/>
      </c>
      <c r="H280" s="6" t="inlineStr">
        <is>
          <t>Z-GF-08</t>
        </is>
      </c>
      <c r="I280" s="6" t="inlineStr">
        <is>
          <t>Tags: T-GF-08</t>
        </is>
      </c>
    </row>
    <row r="281">
      <c r="A281" s="6" t="inlineStr">
        <is>
          <t>K.9</t>
        </is>
      </c>
      <c r="B281" s="6" t="inlineStr">
        <is>
          <t>Wired programmable thermostat / controller</t>
        </is>
      </c>
      <c r="C281" s="6" t="inlineStr">
        <is>
          <t>wired programmable thermostat</t>
        </is>
      </c>
      <c r="D281" s="6" t="inlineStr">
        <is>
          <t>No.</t>
        </is>
      </c>
      <c r="E281" s="6" t="n">
        <v>1</v>
      </c>
      <c r="F281" s="7" t="n">
        <v>0</v>
      </c>
      <c r="G281" s="6">
        <f>ROUNDUP(E281*(1+F281/100),0)</f>
        <v/>
      </c>
      <c r="H281" s="6" t="inlineStr">
        <is>
          <t>Z-GF-09</t>
        </is>
      </c>
      <c r="I281" s="6" t="inlineStr">
        <is>
          <t>Tags: T-GF-09</t>
        </is>
      </c>
    </row>
    <row r="282">
      <c r="A282" s="6" t="inlineStr">
        <is>
          <t>K.10</t>
        </is>
      </c>
      <c r="B282" s="6" t="inlineStr">
        <is>
          <t>Wired programmable thermostat / controller</t>
        </is>
      </c>
      <c r="C282" s="6" t="inlineStr">
        <is>
          <t>wired programmable thermostat</t>
        </is>
      </c>
      <c r="D282" s="6" t="inlineStr">
        <is>
          <t>No.</t>
        </is>
      </c>
      <c r="E282" s="6" t="n">
        <v>1</v>
      </c>
      <c r="F282" s="7" t="n">
        <v>0</v>
      </c>
      <c r="G282" s="6">
        <f>ROUNDUP(E282*(1+F282/100),0)</f>
        <v/>
      </c>
      <c r="H282" s="6" t="inlineStr">
        <is>
          <t>Z-GF-10</t>
        </is>
      </c>
      <c r="I282" s="6" t="inlineStr">
        <is>
          <t>Tags: T-GF-10</t>
        </is>
      </c>
    </row>
    <row r="283">
      <c r="A283" s="6" t="inlineStr">
        <is>
          <t>K.11</t>
        </is>
      </c>
      <c r="B283" s="6" t="inlineStr">
        <is>
          <t>Wired programmable thermostat / controller</t>
        </is>
      </c>
      <c r="C283" s="6" t="inlineStr">
        <is>
          <t>wired programmable thermostat</t>
        </is>
      </c>
      <c r="D283" s="6" t="inlineStr">
        <is>
          <t>No.</t>
        </is>
      </c>
      <c r="E283" s="6" t="n">
        <v>1</v>
      </c>
      <c r="F283" s="7" t="n">
        <v>0</v>
      </c>
      <c r="G283" s="6">
        <f>ROUNDUP(E283*(1+F283/100),0)</f>
        <v/>
      </c>
      <c r="H283" s="6" t="inlineStr">
        <is>
          <t>Z-GF-11</t>
        </is>
      </c>
      <c r="I283" s="6" t="inlineStr">
        <is>
          <t>Tags: T-GF-11</t>
        </is>
      </c>
    </row>
    <row r="284">
      <c r="A284" s="6" t="inlineStr">
        <is>
          <t>K.12</t>
        </is>
      </c>
      <c r="B284" s="6" t="inlineStr">
        <is>
          <t>Wired programmable thermostat / controller</t>
        </is>
      </c>
      <c r="C284" s="6" t="inlineStr">
        <is>
          <t>wired programmable thermostat</t>
        </is>
      </c>
      <c r="D284" s="6" t="inlineStr">
        <is>
          <t>No.</t>
        </is>
      </c>
      <c r="E284" s="6" t="n">
        <v>1</v>
      </c>
      <c r="F284" s="7" t="n">
        <v>0</v>
      </c>
      <c r="G284" s="6">
        <f>ROUNDUP(E284*(1+F284/100),0)</f>
        <v/>
      </c>
      <c r="H284" s="6" t="inlineStr">
        <is>
          <t>Z-GF-12</t>
        </is>
      </c>
      <c r="I284" s="6" t="inlineStr">
        <is>
          <t>Tags: T-GF-12</t>
        </is>
      </c>
    </row>
    <row r="285">
      <c r="A285" s="6" t="inlineStr">
        <is>
          <t>K.13</t>
        </is>
      </c>
      <c r="B285" s="6" t="inlineStr">
        <is>
          <t>Wired room controller</t>
        </is>
      </c>
      <c r="C285" s="6" t="inlineStr">
        <is>
          <t>wired controller</t>
        </is>
      </c>
      <c r="D285" s="6" t="inlineStr">
        <is>
          <t>No.</t>
        </is>
      </c>
      <c r="E285" s="6" t="n">
        <v>1</v>
      </c>
      <c r="F285" s="7" t="n">
        <v>0</v>
      </c>
      <c r="G285" s="6">
        <f>ROUNDUP(E285*(1+F285/100),0)</f>
        <v/>
      </c>
      <c r="H285" s="6" t="inlineStr">
        <is>
          <t>Z-FF-01</t>
        </is>
      </c>
      <c r="I285" s="6" t="inlineStr">
        <is>
          <t>Tags: T-FF-01</t>
        </is>
      </c>
    </row>
    <row r="286">
      <c r="A286" s="6" t="inlineStr">
        <is>
          <t>K.14</t>
        </is>
      </c>
      <c r="B286" s="6" t="inlineStr">
        <is>
          <t>Wired room controller</t>
        </is>
      </c>
      <c r="C286" s="6" t="inlineStr">
        <is>
          <t>wired controller</t>
        </is>
      </c>
      <c r="D286" s="6" t="inlineStr">
        <is>
          <t>No.</t>
        </is>
      </c>
      <c r="E286" s="6" t="n">
        <v>1</v>
      </c>
      <c r="F286" s="7" t="n">
        <v>0</v>
      </c>
      <c r="G286" s="6">
        <f>ROUNDUP(E286*(1+F286/100),0)</f>
        <v/>
      </c>
      <c r="H286" s="6" t="inlineStr">
        <is>
          <t>Z-FF-02</t>
        </is>
      </c>
      <c r="I286" s="6" t="inlineStr">
        <is>
          <t>Tags: T-FF-02</t>
        </is>
      </c>
    </row>
    <row r="287">
      <c r="A287" s="6" t="inlineStr">
        <is>
          <t>K.15</t>
        </is>
      </c>
      <c r="B287" s="6" t="inlineStr">
        <is>
          <t>Wired room controller</t>
        </is>
      </c>
      <c r="C287" s="6" t="inlineStr">
        <is>
          <t>wired controller</t>
        </is>
      </c>
      <c r="D287" s="6" t="inlineStr">
        <is>
          <t>No.</t>
        </is>
      </c>
      <c r="E287" s="6" t="n">
        <v>1</v>
      </c>
      <c r="F287" s="7" t="n">
        <v>0</v>
      </c>
      <c r="G287" s="6">
        <f>ROUNDUP(E287*(1+F287/100),0)</f>
        <v/>
      </c>
      <c r="H287" s="6" t="inlineStr">
        <is>
          <t>Z-FF-03</t>
        </is>
      </c>
      <c r="I287" s="6" t="inlineStr">
        <is>
          <t>Tags: T-FF-03</t>
        </is>
      </c>
    </row>
    <row r="288">
      <c r="A288" s="6" t="inlineStr">
        <is>
          <t>K.16</t>
        </is>
      </c>
      <c r="B288" s="6" t="inlineStr">
        <is>
          <t>Wired room controller</t>
        </is>
      </c>
      <c r="C288" s="6" t="inlineStr">
        <is>
          <t>wired controller</t>
        </is>
      </c>
      <c r="D288" s="6" t="inlineStr">
        <is>
          <t>No.</t>
        </is>
      </c>
      <c r="E288" s="6" t="n">
        <v>1</v>
      </c>
      <c r="F288" s="7" t="n">
        <v>0</v>
      </c>
      <c r="G288" s="6">
        <f>ROUNDUP(E288*(1+F288/100),0)</f>
        <v/>
      </c>
      <c r="H288" s="6" t="inlineStr">
        <is>
          <t>Z-FF-04</t>
        </is>
      </c>
      <c r="I288" s="6" t="inlineStr">
        <is>
          <t>Tags: T-FF-04</t>
        </is>
      </c>
    </row>
    <row r="289">
      <c r="A289" s="6" t="inlineStr">
        <is>
          <t>K.17</t>
        </is>
      </c>
      <c r="B289" s="6" t="inlineStr">
        <is>
          <t>Wired room controller</t>
        </is>
      </c>
      <c r="C289" s="6" t="inlineStr">
        <is>
          <t>wired controller</t>
        </is>
      </c>
      <c r="D289" s="6" t="inlineStr">
        <is>
          <t>No.</t>
        </is>
      </c>
      <c r="E289" s="6" t="n">
        <v>1</v>
      </c>
      <c r="F289" s="7" t="n">
        <v>0</v>
      </c>
      <c r="G289" s="6">
        <f>ROUNDUP(E289*(1+F289/100),0)</f>
        <v/>
      </c>
      <c r="H289" s="6" t="inlineStr">
        <is>
          <t>Z-FF-05</t>
        </is>
      </c>
      <c r="I289" s="6" t="inlineStr">
        <is>
          <t>Tags: T-FF-05</t>
        </is>
      </c>
    </row>
    <row r="290">
      <c r="A290" s="6" t="inlineStr">
        <is>
          <t>K.18</t>
        </is>
      </c>
      <c r="B290" s="6" t="inlineStr">
        <is>
          <t>Wired room controller</t>
        </is>
      </c>
      <c r="C290" s="6" t="inlineStr">
        <is>
          <t>wired controller</t>
        </is>
      </c>
      <c r="D290" s="6" t="inlineStr">
        <is>
          <t>No.</t>
        </is>
      </c>
      <c r="E290" s="6" t="n">
        <v>1</v>
      </c>
      <c r="F290" s="7" t="n">
        <v>0</v>
      </c>
      <c r="G290" s="6">
        <f>ROUNDUP(E290*(1+F290/100),0)</f>
        <v/>
      </c>
      <c r="H290" s="6" t="inlineStr">
        <is>
          <t>Z-FF-06</t>
        </is>
      </c>
      <c r="I290" s="6" t="inlineStr">
        <is>
          <t>Tags: T-FF-06</t>
        </is>
      </c>
    </row>
    <row r="291">
      <c r="A291" s="6" t="inlineStr">
        <is>
          <t>K.19</t>
        </is>
      </c>
      <c r="B291" s="6" t="inlineStr">
        <is>
          <t>Wired room controller</t>
        </is>
      </c>
      <c r="C291" s="6" t="inlineStr">
        <is>
          <t>wired controller</t>
        </is>
      </c>
      <c r="D291" s="6" t="inlineStr">
        <is>
          <t>No.</t>
        </is>
      </c>
      <c r="E291" s="6" t="n">
        <v>1</v>
      </c>
      <c r="F291" s="7" t="n">
        <v>0</v>
      </c>
      <c r="G291" s="6">
        <f>ROUNDUP(E291*(1+F291/100),0)</f>
        <v/>
      </c>
      <c r="H291" s="6" t="inlineStr">
        <is>
          <t>Z-FF-07</t>
        </is>
      </c>
      <c r="I291" s="6" t="inlineStr">
        <is>
          <t>Tags: T-FF-07</t>
        </is>
      </c>
    </row>
    <row r="292">
      <c r="A292" s="6" t="inlineStr">
        <is>
          <t>K.20</t>
        </is>
      </c>
      <c r="B292" s="6" t="inlineStr">
        <is>
          <t>Wired room controller</t>
        </is>
      </c>
      <c r="C292" s="6" t="inlineStr">
        <is>
          <t>wired controller</t>
        </is>
      </c>
      <c r="D292" s="6" t="inlineStr">
        <is>
          <t>No.</t>
        </is>
      </c>
      <c r="E292" s="6" t="n">
        <v>1</v>
      </c>
      <c r="F292" s="7" t="n">
        <v>0</v>
      </c>
      <c r="G292" s="6">
        <f>ROUNDUP(E292*(1+F292/100),0)</f>
        <v/>
      </c>
      <c r="H292" s="6" t="inlineStr">
        <is>
          <t>Z-FF-08</t>
        </is>
      </c>
      <c r="I292" s="6" t="inlineStr">
        <is>
          <t>Tags: T-FF-08</t>
        </is>
      </c>
    </row>
    <row r="293">
      <c r="A293" s="6" t="inlineStr">
        <is>
          <t>K.21</t>
        </is>
      </c>
      <c r="B293" s="6" t="inlineStr">
        <is>
          <t>Wired programmable thermostat / controller</t>
        </is>
      </c>
      <c r="C293" s="6" t="inlineStr">
        <is>
          <t>wired programmable thermostat</t>
        </is>
      </c>
      <c r="D293" s="6" t="inlineStr">
        <is>
          <t>No.</t>
        </is>
      </c>
      <c r="E293" s="6" t="n">
        <v>1</v>
      </c>
      <c r="F293" s="7" t="n">
        <v>0</v>
      </c>
      <c r="G293" s="6">
        <f>ROUNDUP(E293*(1+F293/100),0)</f>
        <v/>
      </c>
      <c r="H293" s="6" t="inlineStr">
        <is>
          <t>Z-FF-09</t>
        </is>
      </c>
      <c r="I293" s="6" t="inlineStr">
        <is>
          <t>Tags: T-FF-09</t>
        </is>
      </c>
    </row>
    <row r="294">
      <c r="A294" s="6" t="inlineStr">
        <is>
          <t>K.22</t>
        </is>
      </c>
      <c r="B294" s="6" t="inlineStr">
        <is>
          <t>Wired programmable thermostat / controller</t>
        </is>
      </c>
      <c r="C294" s="6" t="inlineStr">
        <is>
          <t>wired programmable thermostat</t>
        </is>
      </c>
      <c r="D294" s="6" t="inlineStr">
        <is>
          <t>No.</t>
        </is>
      </c>
      <c r="E294" s="6" t="n">
        <v>1</v>
      </c>
      <c r="F294" s="7" t="n">
        <v>0</v>
      </c>
      <c r="G294" s="6">
        <f>ROUNDUP(E294*(1+F294/100),0)</f>
        <v/>
      </c>
      <c r="H294" s="6" t="inlineStr">
        <is>
          <t>Z-FF-10</t>
        </is>
      </c>
      <c r="I294" s="6" t="inlineStr">
        <is>
          <t>Tags: T-FF-10</t>
        </is>
      </c>
    </row>
    <row r="295">
      <c r="A295" s="6" t="inlineStr">
        <is>
          <t>K.23</t>
        </is>
      </c>
      <c r="B295" s="6" t="inlineStr">
        <is>
          <t>Wired programmable thermostat / controller</t>
        </is>
      </c>
      <c r="C295" s="6" t="inlineStr">
        <is>
          <t>wired programmable thermostat</t>
        </is>
      </c>
      <c r="D295" s="6" t="inlineStr">
        <is>
          <t>No.</t>
        </is>
      </c>
      <c r="E295" s="6" t="n">
        <v>1</v>
      </c>
      <c r="F295" s="7" t="n">
        <v>0</v>
      </c>
      <c r="G295" s="6">
        <f>ROUNDUP(E295*(1+F295/100),0)</f>
        <v/>
      </c>
      <c r="H295" s="6" t="inlineStr">
        <is>
          <t>Z-FF-11</t>
        </is>
      </c>
      <c r="I295" s="6" t="inlineStr">
        <is>
          <t>Tags: T-FF-11</t>
        </is>
      </c>
    </row>
    <row r="296">
      <c r="A296" s="6" t="inlineStr">
        <is>
          <t>K.24</t>
        </is>
      </c>
      <c r="B296" s="6" t="inlineStr">
        <is>
          <t>Wired programmable thermostat / controller</t>
        </is>
      </c>
      <c r="C296" s="6" t="inlineStr">
        <is>
          <t>wired programmable thermostat</t>
        </is>
      </c>
      <c r="D296" s="6" t="inlineStr">
        <is>
          <t>No.</t>
        </is>
      </c>
      <c r="E296" s="6" t="n">
        <v>1</v>
      </c>
      <c r="F296" s="7" t="n">
        <v>0</v>
      </c>
      <c r="G296" s="6">
        <f>ROUNDUP(E296*(1+F296/100),0)</f>
        <v/>
      </c>
      <c r="H296" s="6" t="inlineStr">
        <is>
          <t>Z-FF-12</t>
        </is>
      </c>
      <c r="I296" s="6" t="inlineStr">
        <is>
          <t>Tags: T-FF-12</t>
        </is>
      </c>
    </row>
    <row r="297">
      <c r="A297" s="6" t="inlineStr">
        <is>
          <t>K.25</t>
        </is>
      </c>
      <c r="B297" s="6" t="inlineStr">
        <is>
          <t>Wired room controller</t>
        </is>
      </c>
      <c r="C297" s="6" t="inlineStr">
        <is>
          <t>wired controller</t>
        </is>
      </c>
      <c r="D297" s="6" t="inlineStr">
        <is>
          <t>No.</t>
        </is>
      </c>
      <c r="E297" s="6" t="n">
        <v>1</v>
      </c>
      <c r="F297" s="7" t="n">
        <v>0</v>
      </c>
      <c r="G297" s="6">
        <f>ROUNDUP(E297*(1+F297/100),0)</f>
        <v/>
      </c>
      <c r="H297" s="6" t="inlineStr">
        <is>
          <t>Z-SF-01</t>
        </is>
      </c>
      <c r="I297" s="6" t="inlineStr">
        <is>
          <t>Tags: T-SF-01</t>
        </is>
      </c>
    </row>
    <row r="298">
      <c r="A298" s="6" t="inlineStr">
        <is>
          <t>K.26</t>
        </is>
      </c>
      <c r="B298" s="6" t="inlineStr">
        <is>
          <t>Wired room controller</t>
        </is>
      </c>
      <c r="C298" s="6" t="inlineStr">
        <is>
          <t>wired controller</t>
        </is>
      </c>
      <c r="D298" s="6" t="inlineStr">
        <is>
          <t>No.</t>
        </is>
      </c>
      <c r="E298" s="6" t="n">
        <v>1</v>
      </c>
      <c r="F298" s="7" t="n">
        <v>0</v>
      </c>
      <c r="G298" s="6">
        <f>ROUNDUP(E298*(1+F298/100),0)</f>
        <v/>
      </c>
      <c r="H298" s="6" t="inlineStr">
        <is>
          <t>Z-SF-02</t>
        </is>
      </c>
      <c r="I298" s="6" t="inlineStr">
        <is>
          <t>Tags: T-SF-02</t>
        </is>
      </c>
    </row>
    <row r="299">
      <c r="A299" s="6" t="inlineStr">
        <is>
          <t>K.27</t>
        </is>
      </c>
      <c r="B299" s="6" t="inlineStr">
        <is>
          <t>Wired room controller</t>
        </is>
      </c>
      <c r="C299" s="6" t="inlineStr">
        <is>
          <t>wired controller</t>
        </is>
      </c>
      <c r="D299" s="6" t="inlineStr">
        <is>
          <t>No.</t>
        </is>
      </c>
      <c r="E299" s="6" t="n">
        <v>1</v>
      </c>
      <c r="F299" s="7" t="n">
        <v>0</v>
      </c>
      <c r="G299" s="6">
        <f>ROUNDUP(E299*(1+F299/100),0)</f>
        <v/>
      </c>
      <c r="H299" s="6" t="inlineStr">
        <is>
          <t>Z-SF-03</t>
        </is>
      </c>
      <c r="I299" s="6" t="inlineStr">
        <is>
          <t>Tags: T-SF-03</t>
        </is>
      </c>
    </row>
    <row r="300">
      <c r="A300" s="6" t="inlineStr">
        <is>
          <t>K.28</t>
        </is>
      </c>
      <c r="B300" s="6" t="inlineStr">
        <is>
          <t>Wired room controller</t>
        </is>
      </c>
      <c r="C300" s="6" t="inlineStr">
        <is>
          <t>wired controller</t>
        </is>
      </c>
      <c r="D300" s="6" t="inlineStr">
        <is>
          <t>No.</t>
        </is>
      </c>
      <c r="E300" s="6" t="n">
        <v>1</v>
      </c>
      <c r="F300" s="7" t="n">
        <v>0</v>
      </c>
      <c r="G300" s="6">
        <f>ROUNDUP(E300*(1+F300/100),0)</f>
        <v/>
      </c>
      <c r="H300" s="6" t="inlineStr">
        <is>
          <t>Z-SF-04</t>
        </is>
      </c>
      <c r="I300" s="6" t="inlineStr">
        <is>
          <t>Tags: T-SF-04</t>
        </is>
      </c>
    </row>
    <row r="301">
      <c r="A301" s="6" t="inlineStr">
        <is>
          <t>K.29</t>
        </is>
      </c>
      <c r="B301" s="6" t="inlineStr">
        <is>
          <t>Wired room controller</t>
        </is>
      </c>
      <c r="C301" s="6" t="inlineStr">
        <is>
          <t>wired controller</t>
        </is>
      </c>
      <c r="D301" s="6" t="inlineStr">
        <is>
          <t>No.</t>
        </is>
      </c>
      <c r="E301" s="6" t="n">
        <v>1</v>
      </c>
      <c r="F301" s="7" t="n">
        <v>0</v>
      </c>
      <c r="G301" s="6">
        <f>ROUNDUP(E301*(1+F301/100),0)</f>
        <v/>
      </c>
      <c r="H301" s="6" t="inlineStr">
        <is>
          <t>Z-SF-05</t>
        </is>
      </c>
      <c r="I301" s="6" t="inlineStr">
        <is>
          <t>Tags: T-SF-05</t>
        </is>
      </c>
    </row>
    <row r="302">
      <c r="A302" s="6" t="inlineStr">
        <is>
          <t>K.30</t>
        </is>
      </c>
      <c r="B302" s="6" t="inlineStr">
        <is>
          <t>Wired room controller</t>
        </is>
      </c>
      <c r="C302" s="6" t="inlineStr">
        <is>
          <t>wired controller</t>
        </is>
      </c>
      <c r="D302" s="6" t="inlineStr">
        <is>
          <t>No.</t>
        </is>
      </c>
      <c r="E302" s="6" t="n">
        <v>1</v>
      </c>
      <c r="F302" s="7" t="n">
        <v>0</v>
      </c>
      <c r="G302" s="6">
        <f>ROUNDUP(E302*(1+F302/100),0)</f>
        <v/>
      </c>
      <c r="H302" s="6" t="inlineStr">
        <is>
          <t>Z-SF-06</t>
        </is>
      </c>
      <c r="I302" s="6" t="inlineStr">
        <is>
          <t>Tags: T-SF-06</t>
        </is>
      </c>
    </row>
    <row r="303">
      <c r="A303" s="6" t="inlineStr">
        <is>
          <t>K.31</t>
        </is>
      </c>
      <c r="B303" s="6" t="inlineStr">
        <is>
          <t>Wired room controller</t>
        </is>
      </c>
      <c r="C303" s="6" t="inlineStr">
        <is>
          <t>wired controller</t>
        </is>
      </c>
      <c r="D303" s="6" t="inlineStr">
        <is>
          <t>No.</t>
        </is>
      </c>
      <c r="E303" s="6" t="n">
        <v>1</v>
      </c>
      <c r="F303" s="7" t="n">
        <v>0</v>
      </c>
      <c r="G303" s="6">
        <f>ROUNDUP(E303*(1+F303/100),0)</f>
        <v/>
      </c>
      <c r="H303" s="6" t="inlineStr">
        <is>
          <t>Z-SF-07</t>
        </is>
      </c>
      <c r="I303" s="6" t="inlineStr">
        <is>
          <t>Tags: T-SF-07</t>
        </is>
      </c>
    </row>
    <row r="304">
      <c r="A304" s="6" t="inlineStr">
        <is>
          <t>K.32</t>
        </is>
      </c>
      <c r="B304" s="6" t="inlineStr">
        <is>
          <t>Wired room controller</t>
        </is>
      </c>
      <c r="C304" s="6" t="inlineStr">
        <is>
          <t>wired controller</t>
        </is>
      </c>
      <c r="D304" s="6" t="inlineStr">
        <is>
          <t>No.</t>
        </is>
      </c>
      <c r="E304" s="6" t="n">
        <v>1</v>
      </c>
      <c r="F304" s="7" t="n">
        <v>0</v>
      </c>
      <c r="G304" s="6">
        <f>ROUNDUP(E304*(1+F304/100),0)</f>
        <v/>
      </c>
      <c r="H304" s="6" t="inlineStr">
        <is>
          <t>Z-SF-08</t>
        </is>
      </c>
      <c r="I304" s="6" t="inlineStr">
        <is>
          <t>Tags: T-SF-08</t>
        </is>
      </c>
    </row>
    <row r="305">
      <c r="A305" s="6" t="inlineStr">
        <is>
          <t>K.33</t>
        </is>
      </c>
      <c r="B305" s="6" t="inlineStr">
        <is>
          <t>Wired room controller</t>
        </is>
      </c>
      <c r="C305" s="6" t="inlineStr">
        <is>
          <t>wired controller</t>
        </is>
      </c>
      <c r="D305" s="6" t="inlineStr">
        <is>
          <t>No.</t>
        </is>
      </c>
      <c r="E305" s="6" t="n">
        <v>1</v>
      </c>
      <c r="F305" s="7" t="n">
        <v>0</v>
      </c>
      <c r="G305" s="6">
        <f>ROUNDUP(E305*(1+F305/100),0)</f>
        <v/>
      </c>
      <c r="H305" s="6" t="inlineStr">
        <is>
          <t>Z-SF-09</t>
        </is>
      </c>
      <c r="I305" s="6" t="inlineStr">
        <is>
          <t>Tags: T-SF-09</t>
        </is>
      </c>
    </row>
    <row r="306">
      <c r="A306" s="6" t="inlineStr">
        <is>
          <t>K.34</t>
        </is>
      </c>
      <c r="B306" s="6" t="inlineStr">
        <is>
          <t>Wired programmable thermostat / controller</t>
        </is>
      </c>
      <c r="C306" s="6" t="inlineStr">
        <is>
          <t>wired programmable thermostat</t>
        </is>
      </c>
      <c r="D306" s="6" t="inlineStr">
        <is>
          <t>No.</t>
        </is>
      </c>
      <c r="E306" s="6" t="n">
        <v>1</v>
      </c>
      <c r="F306" s="7" t="n">
        <v>0</v>
      </c>
      <c r="G306" s="6">
        <f>ROUNDUP(E306*(1+F306/100),0)</f>
        <v/>
      </c>
      <c r="H306" s="6" t="inlineStr">
        <is>
          <t>Z-SF-10</t>
        </is>
      </c>
      <c r="I306" s="6" t="inlineStr">
        <is>
          <t>Tags: T-SF-10</t>
        </is>
      </c>
    </row>
    <row r="307">
      <c r="A307" s="6" t="inlineStr">
        <is>
          <t>K.35</t>
        </is>
      </c>
      <c r="B307" s="6" t="inlineStr">
        <is>
          <t>Wired programmable thermostat / controller</t>
        </is>
      </c>
      <c r="C307" s="6" t="inlineStr">
        <is>
          <t>wired programmable thermostat</t>
        </is>
      </c>
      <c r="D307" s="6" t="inlineStr">
        <is>
          <t>No.</t>
        </is>
      </c>
      <c r="E307" s="6" t="n">
        <v>1</v>
      </c>
      <c r="F307" s="7" t="n">
        <v>0</v>
      </c>
      <c r="G307" s="6">
        <f>ROUNDUP(E307*(1+F307/100),0)</f>
        <v/>
      </c>
      <c r="H307" s="6" t="inlineStr">
        <is>
          <t>Z-SF-11</t>
        </is>
      </c>
      <c r="I307" s="6" t="inlineStr">
        <is>
          <t>Tags: T-SF-11</t>
        </is>
      </c>
    </row>
    <row r="308">
      <c r="A308" s="6" t="inlineStr">
        <is>
          <t>K.36</t>
        </is>
      </c>
      <c r="B308" s="6" t="inlineStr">
        <is>
          <t>Wired programmable thermostat / controller</t>
        </is>
      </c>
      <c r="C308" s="6" t="inlineStr">
        <is>
          <t>wired programmable thermostat</t>
        </is>
      </c>
      <c r="D308" s="6" t="inlineStr">
        <is>
          <t>No.</t>
        </is>
      </c>
      <c r="E308" s="6" t="n">
        <v>1</v>
      </c>
      <c r="F308" s="7" t="n">
        <v>0</v>
      </c>
      <c r="G308" s="6">
        <f>ROUNDUP(E308*(1+F308/100),0)</f>
        <v/>
      </c>
      <c r="H308" s="6" t="inlineStr">
        <is>
          <t>Z-SF-12</t>
        </is>
      </c>
      <c r="I308" s="6" t="inlineStr">
        <is>
          <t>Tags: T-SF-12</t>
        </is>
      </c>
    </row>
    <row r="309">
      <c r="A309" s="6" t="inlineStr">
        <is>
          <t>K.37</t>
        </is>
      </c>
      <c r="B309" s="6" t="inlineStr">
        <is>
          <t>Wired programmable thermostat / controller</t>
        </is>
      </c>
      <c r="C309" s="6" t="inlineStr">
        <is>
          <t>wired programmable thermostat</t>
        </is>
      </c>
      <c r="D309" s="6" t="inlineStr">
        <is>
          <t>No.</t>
        </is>
      </c>
      <c r="E309" s="6" t="n">
        <v>1</v>
      </c>
      <c r="F309" s="7" t="n">
        <v>0</v>
      </c>
      <c r="G309" s="6">
        <f>ROUNDUP(E309*(1+F309/100),0)</f>
        <v/>
      </c>
      <c r="H309" s="6" t="inlineStr">
        <is>
          <t>Z-SF-13</t>
        </is>
      </c>
      <c r="I309" s="6" t="inlineStr">
        <is>
          <t>Tags: T-SF-13</t>
        </is>
      </c>
    </row>
    <row r="310">
      <c r="A310" s="6" t="inlineStr">
        <is>
          <t>K.38</t>
        </is>
      </c>
      <c r="B310" s="6" t="inlineStr">
        <is>
          <t>Wired room controller</t>
        </is>
      </c>
      <c r="C310" s="6" t="inlineStr">
        <is>
          <t>wired controller</t>
        </is>
      </c>
      <c r="D310" s="6" t="inlineStr">
        <is>
          <t>No.</t>
        </is>
      </c>
      <c r="E310" s="6" t="n">
        <v>1</v>
      </c>
      <c r="F310" s="7" t="n">
        <v>0</v>
      </c>
      <c r="G310" s="6">
        <f>ROUNDUP(E310*(1+F310/100),0)</f>
        <v/>
      </c>
      <c r="H310" s="6" t="inlineStr">
        <is>
          <t>Z-TF-01</t>
        </is>
      </c>
      <c r="I310" s="6" t="inlineStr">
        <is>
          <t>Tags: T-TF-01</t>
        </is>
      </c>
    </row>
    <row r="311">
      <c r="A311" s="6" t="inlineStr">
        <is>
          <t>K.39</t>
        </is>
      </c>
      <c r="B311" s="6" t="inlineStr">
        <is>
          <t>Wired room controller</t>
        </is>
      </c>
      <c r="C311" s="6" t="inlineStr">
        <is>
          <t>wired controller</t>
        </is>
      </c>
      <c r="D311" s="6" t="inlineStr">
        <is>
          <t>No.</t>
        </is>
      </c>
      <c r="E311" s="6" t="n">
        <v>1</v>
      </c>
      <c r="F311" s="7" t="n">
        <v>0</v>
      </c>
      <c r="G311" s="6">
        <f>ROUNDUP(E311*(1+F311/100),0)</f>
        <v/>
      </c>
      <c r="H311" s="6" t="inlineStr">
        <is>
          <t>Z-TF-02</t>
        </is>
      </c>
      <c r="I311" s="6" t="inlineStr">
        <is>
          <t>Tags: T-TF-02</t>
        </is>
      </c>
    </row>
    <row r="312">
      <c r="A312" s="6" t="inlineStr">
        <is>
          <t>K.40</t>
        </is>
      </c>
      <c r="B312" s="6" t="inlineStr">
        <is>
          <t>Wired room controller</t>
        </is>
      </c>
      <c r="C312" s="6" t="inlineStr">
        <is>
          <t>wired controller</t>
        </is>
      </c>
      <c r="D312" s="6" t="inlineStr">
        <is>
          <t>No.</t>
        </is>
      </c>
      <c r="E312" s="6" t="n">
        <v>1</v>
      </c>
      <c r="F312" s="7" t="n">
        <v>0</v>
      </c>
      <c r="G312" s="6">
        <f>ROUNDUP(E312*(1+F312/100),0)</f>
        <v/>
      </c>
      <c r="H312" s="6" t="inlineStr">
        <is>
          <t>Z-TF-03</t>
        </is>
      </c>
      <c r="I312" s="6" t="inlineStr">
        <is>
          <t>Tags: T-TF-03</t>
        </is>
      </c>
    </row>
    <row r="313">
      <c r="A313" s="6" t="inlineStr">
        <is>
          <t>K.41</t>
        </is>
      </c>
      <c r="B313" s="6" t="inlineStr">
        <is>
          <t>Wired room controller</t>
        </is>
      </c>
      <c r="C313" s="6" t="inlineStr">
        <is>
          <t>wired controller</t>
        </is>
      </c>
      <c r="D313" s="6" t="inlineStr">
        <is>
          <t>No.</t>
        </is>
      </c>
      <c r="E313" s="6" t="n">
        <v>1</v>
      </c>
      <c r="F313" s="7" t="n">
        <v>0</v>
      </c>
      <c r="G313" s="6">
        <f>ROUNDUP(E313*(1+F313/100),0)</f>
        <v/>
      </c>
      <c r="H313" s="6" t="inlineStr">
        <is>
          <t>Z-TF-04</t>
        </is>
      </c>
      <c r="I313" s="6" t="inlineStr">
        <is>
          <t>Tags: T-TF-04</t>
        </is>
      </c>
    </row>
    <row r="314">
      <c r="A314" s="6" t="inlineStr">
        <is>
          <t>K.42</t>
        </is>
      </c>
      <c r="B314" s="6" t="inlineStr">
        <is>
          <t>Wired room controller</t>
        </is>
      </c>
      <c r="C314" s="6" t="inlineStr">
        <is>
          <t>wired controller</t>
        </is>
      </c>
      <c r="D314" s="6" t="inlineStr">
        <is>
          <t>No.</t>
        </is>
      </c>
      <c r="E314" s="6" t="n">
        <v>1</v>
      </c>
      <c r="F314" s="7" t="n">
        <v>0</v>
      </c>
      <c r="G314" s="6">
        <f>ROUNDUP(E314*(1+F314/100),0)</f>
        <v/>
      </c>
      <c r="H314" s="6" t="inlineStr">
        <is>
          <t>Z-TF-05</t>
        </is>
      </c>
      <c r="I314" s="6" t="inlineStr">
        <is>
          <t>Tags: T-TF-05</t>
        </is>
      </c>
    </row>
    <row r="315">
      <c r="A315" s="6" t="inlineStr">
        <is>
          <t>K.43</t>
        </is>
      </c>
      <c r="B315" s="6" t="inlineStr">
        <is>
          <t>Wired room controller</t>
        </is>
      </c>
      <c r="C315" s="6" t="inlineStr">
        <is>
          <t>wired controller</t>
        </is>
      </c>
      <c r="D315" s="6" t="inlineStr">
        <is>
          <t>No.</t>
        </is>
      </c>
      <c r="E315" s="6" t="n">
        <v>1</v>
      </c>
      <c r="F315" s="7" t="n">
        <v>0</v>
      </c>
      <c r="G315" s="6">
        <f>ROUNDUP(E315*(1+F315/100),0)</f>
        <v/>
      </c>
      <c r="H315" s="6" t="inlineStr">
        <is>
          <t>Z-TF-06</t>
        </is>
      </c>
      <c r="I315" s="6" t="inlineStr">
        <is>
          <t>Tags: T-TF-06</t>
        </is>
      </c>
    </row>
    <row r="316">
      <c r="A316" s="6" t="inlineStr">
        <is>
          <t>K.44</t>
        </is>
      </c>
      <c r="B316" s="6" t="inlineStr">
        <is>
          <t>Wired room controller</t>
        </is>
      </c>
      <c r="C316" s="6" t="inlineStr">
        <is>
          <t>wired controller</t>
        </is>
      </c>
      <c r="D316" s="6" t="inlineStr">
        <is>
          <t>No.</t>
        </is>
      </c>
      <c r="E316" s="6" t="n">
        <v>1</v>
      </c>
      <c r="F316" s="7" t="n">
        <v>0</v>
      </c>
      <c r="G316" s="6">
        <f>ROUNDUP(E316*(1+F316/100),0)</f>
        <v/>
      </c>
      <c r="H316" s="6" t="inlineStr">
        <is>
          <t>Z-TF-07</t>
        </is>
      </c>
      <c r="I316" s="6" t="inlineStr">
        <is>
          <t>Tags: T-TF-07</t>
        </is>
      </c>
    </row>
    <row r="317">
      <c r="A317" s="6" t="inlineStr">
        <is>
          <t>K.45</t>
        </is>
      </c>
      <c r="B317" s="6" t="inlineStr">
        <is>
          <t>Wired room controller</t>
        </is>
      </c>
      <c r="C317" s="6" t="inlineStr">
        <is>
          <t>wired controller</t>
        </is>
      </c>
      <c r="D317" s="6" t="inlineStr">
        <is>
          <t>No.</t>
        </is>
      </c>
      <c r="E317" s="6" t="n">
        <v>1</v>
      </c>
      <c r="F317" s="7" t="n">
        <v>0</v>
      </c>
      <c r="G317" s="6">
        <f>ROUNDUP(E317*(1+F317/100),0)</f>
        <v/>
      </c>
      <c r="H317" s="6" t="inlineStr">
        <is>
          <t>Z-TF-08</t>
        </is>
      </c>
      <c r="I317" s="6" t="inlineStr">
        <is>
          <t>Tags: T-TF-08</t>
        </is>
      </c>
    </row>
    <row r="318">
      <c r="A318" s="6" t="inlineStr">
        <is>
          <t>K.46</t>
        </is>
      </c>
      <c r="B318" s="6" t="inlineStr">
        <is>
          <t>Wired programmable thermostat / controller</t>
        </is>
      </c>
      <c r="C318" s="6" t="inlineStr">
        <is>
          <t>wired programmable thermostat</t>
        </is>
      </c>
      <c r="D318" s="6" t="inlineStr">
        <is>
          <t>No.</t>
        </is>
      </c>
      <c r="E318" s="6" t="n">
        <v>1</v>
      </c>
      <c r="F318" s="7" t="n">
        <v>0</v>
      </c>
      <c r="G318" s="6">
        <f>ROUNDUP(E318*(1+F318/100),0)</f>
        <v/>
      </c>
      <c r="H318" s="6" t="inlineStr">
        <is>
          <t>Z-TF-09</t>
        </is>
      </c>
      <c r="I318" s="6" t="inlineStr">
        <is>
          <t>Tags: T-TF-09</t>
        </is>
      </c>
    </row>
    <row r="319">
      <c r="A319" s="6" t="inlineStr">
        <is>
          <t>K.47</t>
        </is>
      </c>
      <c r="B319" s="6" t="inlineStr">
        <is>
          <t>Wired programmable thermostat / controller</t>
        </is>
      </c>
      <c r="C319" s="6" t="inlineStr">
        <is>
          <t>wired programmable thermostat</t>
        </is>
      </c>
      <c r="D319" s="6" t="inlineStr">
        <is>
          <t>No.</t>
        </is>
      </c>
      <c r="E319" s="6" t="n">
        <v>1</v>
      </c>
      <c r="F319" s="7" t="n">
        <v>0</v>
      </c>
      <c r="G319" s="6">
        <f>ROUNDUP(E319*(1+F319/100),0)</f>
        <v/>
      </c>
      <c r="H319" s="6" t="inlineStr">
        <is>
          <t>Z-TF-10</t>
        </is>
      </c>
      <c r="I319" s="6" t="inlineStr">
        <is>
          <t>Tags: T-TF-10</t>
        </is>
      </c>
    </row>
    <row r="320">
      <c r="A320" s="6" t="inlineStr">
        <is>
          <t>K.48</t>
        </is>
      </c>
      <c r="B320" s="6" t="inlineStr">
        <is>
          <t>Wired programmable thermostat / controller</t>
        </is>
      </c>
      <c r="C320" s="6" t="inlineStr">
        <is>
          <t>wired programmable thermostat</t>
        </is>
      </c>
      <c r="D320" s="6" t="inlineStr">
        <is>
          <t>No.</t>
        </is>
      </c>
      <c r="E320" s="6" t="n">
        <v>1</v>
      </c>
      <c r="F320" s="7" t="n">
        <v>0</v>
      </c>
      <c r="G320" s="6">
        <f>ROUNDUP(E320*(1+F320/100),0)</f>
        <v/>
      </c>
      <c r="H320" s="6" t="inlineStr">
        <is>
          <t>Z-TF-11</t>
        </is>
      </c>
      <c r="I320" s="6" t="inlineStr">
        <is>
          <t>Tags: T-TF-11</t>
        </is>
      </c>
    </row>
    <row r="321">
      <c r="A321" s="6" t="inlineStr">
        <is>
          <t>K.49</t>
        </is>
      </c>
      <c r="B321" s="6" t="inlineStr">
        <is>
          <t>Wired programmable thermostat / controller</t>
        </is>
      </c>
      <c r="C321" s="6" t="inlineStr">
        <is>
          <t>wired programmable thermostat</t>
        </is>
      </c>
      <c r="D321" s="6" t="inlineStr">
        <is>
          <t>No.</t>
        </is>
      </c>
      <c r="E321" s="6" t="n">
        <v>1</v>
      </c>
      <c r="F321" s="7" t="n">
        <v>0</v>
      </c>
      <c r="G321" s="6">
        <f>ROUNDUP(E321*(1+F321/100),0)</f>
        <v/>
      </c>
      <c r="H321" s="6" t="inlineStr">
        <is>
          <t>Z-TF-12</t>
        </is>
      </c>
      <c r="I321" s="6" t="inlineStr">
        <is>
          <t>Tags: T-TF-12</t>
        </is>
      </c>
    </row>
    <row r="322">
      <c r="A322" s="6" t="inlineStr">
        <is>
          <t>K.50</t>
        </is>
      </c>
      <c r="B322" s="6" t="inlineStr">
        <is>
          <t>Control wiring, interlocks (FA damper / FA fan to unit), communication cable</t>
        </is>
      </c>
      <c r="C322" s="6" t="inlineStr">
        <is>
          <t>Shielded 2-core, in conduit</t>
        </is>
      </c>
      <c r="D322" s="6" t="inlineStr">
        <is>
          <t>Lot</t>
        </is>
      </c>
      <c r="E322" s="6" t="n">
        <v>1</v>
      </c>
      <c r="F322" s="7" t="n">
        <v>0</v>
      </c>
      <c r="G322" s="6">
        <f>ROUNDUP(E322*(1+F322/100),0)</f>
        <v/>
      </c>
      <c r="H322" s="6" t="inlineStr">
        <is>
          <t>All</t>
        </is>
      </c>
      <c r="I322" s="6" t="inlineStr">
        <is>
          <t>16 motorised damper interlocks</t>
        </is>
      </c>
    </row>
    <row r="324">
      <c r="A324" s="4" t="inlineStr">
        <is>
          <t>L. TESTING AND COMMISSIONING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6" t="inlineStr">
        <is>
          <t>L.1</t>
        </is>
      </c>
      <c r="B325" s="6" t="inlineStr">
        <is>
          <t>Pressure testing of refrigerant piping (nitrogen, 24 h hold) and evacuation</t>
        </is>
      </c>
      <c r="C325" s="6" t="inlineStr"/>
      <c r="D325" s="6" t="inlineStr">
        <is>
          <t>Lot</t>
        </is>
      </c>
      <c r="E325" s="6" t="n">
        <v>1</v>
      </c>
      <c r="F325" s="7" t="n">
        <v>0</v>
      </c>
      <c r="G325" s="6">
        <f>ROUNDUP(E325*(1+F325/100),0)</f>
        <v/>
      </c>
      <c r="H325" s="6" t="inlineStr">
        <is>
          <t>All</t>
        </is>
      </c>
      <c r="I325" s="6" t="inlineStr"/>
    </row>
    <row r="326">
      <c r="A326" s="6" t="inlineStr">
        <is>
          <t>L.2</t>
        </is>
      </c>
      <c r="B326" s="6" t="inlineStr">
        <is>
          <t>Ductwork leakage testing per SMACNA HVAC Air Duct Leakage Test Manual / DW/143 (sample basis)</t>
        </is>
      </c>
      <c r="C326" s="6" t="inlineStr"/>
      <c r="D326" s="6" t="inlineStr">
        <is>
          <t>Lot</t>
        </is>
      </c>
      <c r="E326" s="6" t="n">
        <v>1</v>
      </c>
      <c r="F326" s="7" t="n">
        <v>0</v>
      </c>
      <c r="G326" s="6">
        <f>ROUNDUP(E326*(1+F326/100),0)</f>
        <v/>
      </c>
      <c r="H326" s="6" t="inlineStr">
        <is>
          <t>All</t>
        </is>
      </c>
      <c r="I326" s="6" t="inlineStr"/>
    </row>
    <row r="327">
      <c r="A327" s="6" t="inlineStr">
        <is>
          <t>L.3</t>
        </is>
      </c>
      <c r="B327" s="6" t="inlineStr">
        <is>
          <t>Testing, adjusting and balancing (TAB) of all air systems by NEBB/AABC certified agency</t>
        </is>
      </c>
      <c r="C327" s="6" t="inlineStr"/>
      <c r="D327" s="6" t="inlineStr">
        <is>
          <t>Lot</t>
        </is>
      </c>
      <c r="E327" s="6" t="n">
        <v>1</v>
      </c>
      <c r="F327" s="7" t="n">
        <v>0</v>
      </c>
      <c r="G327" s="6">
        <f>ROUNDUP(E327*(1+F327/100),0)</f>
        <v/>
      </c>
      <c r="H327" s="6" t="inlineStr">
        <is>
          <t>All</t>
        </is>
      </c>
      <c r="I327" s="6" t="inlineStr"/>
    </row>
    <row r="328">
      <c r="A328" s="6" t="inlineStr">
        <is>
          <t>L.4</t>
        </is>
      </c>
      <c r="B328" s="6" t="inlineStr">
        <is>
          <t>Commissioning of indoor/outdoor units, fans and controls incl. functional performance tests</t>
        </is>
      </c>
      <c r="C328" s="6" t="inlineStr"/>
      <c r="D328" s="6" t="inlineStr">
        <is>
          <t>Lot</t>
        </is>
      </c>
      <c r="E328" s="6" t="n">
        <v>1</v>
      </c>
      <c r="F328" s="7" t="n">
        <v>0</v>
      </c>
      <c r="G328" s="6">
        <f>ROUNDUP(E328*(1+F328/100),0)</f>
        <v/>
      </c>
      <c r="H328" s="6" t="inlineStr">
        <is>
          <t>All</t>
        </is>
      </c>
      <c r="I328" s="6" t="inlineStr"/>
    </row>
    <row r="329">
      <c r="A329" s="6" t="inlineStr">
        <is>
          <t>L.5</t>
        </is>
      </c>
      <c r="B329" s="6" t="inlineStr">
        <is>
          <t>As-built drawings, O&amp;M manuals and training</t>
        </is>
      </c>
      <c r="C329" s="6" t="inlineStr"/>
      <c r="D329" s="6" t="inlineStr">
        <is>
          <t>Lot</t>
        </is>
      </c>
      <c r="E329" s="6" t="n">
        <v>1</v>
      </c>
      <c r="F329" s="7" t="n">
        <v>0</v>
      </c>
      <c r="G329" s="6">
        <f>ROUNDUP(E329*(1+F329/100),0)</f>
        <v/>
      </c>
      <c r="H329" s="6" t="inlineStr">
        <is>
          <t>All</t>
        </is>
      </c>
      <c r="I32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PRELIMINARY DESIGN - FOR COORDINATION ONLY. To be checked and stamped by a qualified HVAC engineer before construction.</t>
        </is>
      </c>
    </row>
    <row r="2">
      <c r="A2" t="inlineStr"/>
    </row>
    <row r="3">
      <c r="A3" t="inlineStr">
        <is>
          <t>Quantities are measured from the preliminary design model (design.json) and include the waste/allowance % shown (editable, yellow cells).</t>
        </is>
      </c>
    </row>
    <row r="4">
      <c r="A4" t="inlineStr">
        <is>
          <t>Ductwork measured as external surface area of straight duct by gauge; fittings covered by the allowance.</t>
        </is>
      </c>
    </row>
    <row r="5">
      <c r="A5" t="inlineStr">
        <is>
          <t>Equipment and terminals are generic sizes - replace with the approved brand's model numbers.</t>
        </is>
      </c>
    </row>
    <row r="6">
      <c r="A6" t="inlineStr">
        <is>
          <t>Fire dampers, builder's work openings, electrical power wiring and BMS integration are excluded / TBC.</t>
        </is>
      </c>
    </row>
    <row r="7">
      <c r="A7" t="inlineStr"/>
    </row>
    <row r="8">
      <c r="A8" t="inlineStr">
        <is>
          <t>See assumptions.md and the design calculation report for the design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2026-10-15T14:19:20Z</dcterms:created>
  <dcterms:modified xmlns:dcterms="http://purl.org/dc/terms/" xmlns:xsi="http://www.w3.org/2001/XMLSchema-instance" xsi:type="dcterms:W3CDTF">2026-10-15T14:19:20Z</dcterms:modified>
</cp:coreProperties>
</file>