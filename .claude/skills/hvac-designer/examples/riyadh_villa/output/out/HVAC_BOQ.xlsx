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7" customWidth="1" min="4" max="4"/>
    <col width="10" customWidth="1" min="5" max="5"/>
    <col width="9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BILL OF QUANTITIES - HVAC (QUANTITIES ONLY, NO PRICES) - Sample Villa - Riyadh</t>
        </is>
      </c>
    </row>
    <row r="2">
      <c r="A2" s="2" t="inlineStr">
        <is>
          <t>PRELIMINARY DESIGN - FOR COORDINATION ONLY. To be checked and stamped by a qualified HVAC engineer before construction.</t>
        </is>
      </c>
    </row>
    <row r="3">
      <c r="A3" t="inlineStr">
        <is>
          <t>Location: Riyadh, Saudi Arabia   Codes: Saudi Building Code + ASHRAE   Units: SI</t>
        </is>
      </c>
    </row>
    <row r="5">
      <c r="A5" s="3" t="inlineStr">
        <is>
          <t>Item No.</t>
        </is>
      </c>
      <c r="B5" s="3" t="inlineStr">
        <is>
          <t>Description</t>
        </is>
      </c>
      <c r="C5" s="3" t="inlineStr">
        <is>
          <t>Specification</t>
        </is>
      </c>
      <c r="D5" s="3" t="inlineStr">
        <is>
          <t>Unit</t>
        </is>
      </c>
      <c r="E5" s="3" t="inlineStr">
        <is>
          <t>Quantity</t>
        </is>
      </c>
      <c r="F5" s="3" t="inlineStr">
        <is>
          <t>Waste %</t>
        </is>
      </c>
      <c r="G5" s="3" t="inlineStr">
        <is>
          <t>Qty incl. allowance</t>
        </is>
      </c>
      <c r="H5" s="3" t="inlineStr">
        <is>
          <t>Floor/Zone</t>
        </is>
      </c>
      <c r="I5" s="3" t="inlineStr">
        <is>
          <t>Remarks</t>
        </is>
      </c>
    </row>
    <row r="6">
      <c r="A6" s="4" t="inlineStr">
        <is>
          <t>A. HVAC EQUIPMENT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inlineStr">
        <is>
          <t>A.1</t>
        </is>
      </c>
      <c r="B7" s="6" t="inlineStr">
        <is>
          <t>Wall-mounted split indoor unit</t>
        </is>
      </c>
      <c r="C7" s="6" t="inlineStr">
        <is>
          <t>WS-18: 5.3 kW nominal cooling, 250 L/s, ESP 0 Pa, heat 5.6 kW, R410A</t>
        </is>
      </c>
      <c r="D7" s="6" t="inlineStr">
        <is>
          <t>No.</t>
        </is>
      </c>
      <c r="E7" s="6" t="n">
        <v>1</v>
      </c>
      <c r="F7" s="7" t="n">
        <v>0</v>
      </c>
      <c r="G7" s="6">
        <f>ROUNDUP(E7*(1+F7/100),0)</f>
        <v/>
      </c>
      <c r="H7" s="6" t="inlineStr">
        <is>
          <t>Z-GF-01</t>
        </is>
      </c>
      <c r="I7" s="6" t="inlineStr">
        <is>
          <t>Tags: IU-GF-01</t>
        </is>
      </c>
    </row>
    <row r="8">
      <c r="A8" s="6" t="inlineStr">
        <is>
          <t>A.2</t>
        </is>
      </c>
      <c r="B8" s="6" t="inlineStr">
        <is>
          <t>Wall-mounted split indoor unit</t>
        </is>
      </c>
      <c r="C8" s="6" t="inlineStr">
        <is>
          <t>WS-09: 2.6 kW nominal cooling, 140 L/s, ESP 0 Pa, heat 2.9 kW, R410A</t>
        </is>
      </c>
      <c r="D8" s="6" t="inlineStr">
        <is>
          <t>No.</t>
        </is>
      </c>
      <c r="E8" s="6" t="n">
        <v>1</v>
      </c>
      <c r="F8" s="7" t="n">
        <v>0</v>
      </c>
      <c r="G8" s="6">
        <f>ROUNDUP(E8*(1+F8/100),0)</f>
        <v/>
      </c>
      <c r="H8" s="6" t="inlineStr">
        <is>
          <t>Z-GF-02</t>
        </is>
      </c>
      <c r="I8" s="6" t="inlineStr">
        <is>
          <t>Tags: IU-GF-02</t>
        </is>
      </c>
    </row>
    <row r="9">
      <c r="A9" s="6" t="inlineStr">
        <is>
          <t>A.3</t>
        </is>
      </c>
      <c r="B9" s="6" t="inlineStr">
        <is>
          <t>Through-wall fresh air fan with G4 filter and weather hood</t>
        </is>
      </c>
      <c r="C9" s="6" t="inlineStr">
        <is>
          <t>FAF-15: 8 L/s, 12 W</t>
        </is>
      </c>
      <c r="D9" s="6" t="inlineStr">
        <is>
          <t>No.</t>
        </is>
      </c>
      <c r="E9" s="6" t="n">
        <v>1</v>
      </c>
      <c r="F9" s="7" t="n">
        <v>0</v>
      </c>
      <c r="G9" s="6">
        <f>ROUNDUP(E9*(1+F9/100),0)</f>
        <v/>
      </c>
      <c r="H9" s="6" t="inlineStr">
        <is>
          <t>Z-GF-02</t>
        </is>
      </c>
      <c r="I9" s="6" t="inlineStr">
        <is>
          <t>Tags: FAF-GF-02</t>
        </is>
      </c>
    </row>
    <row r="10">
      <c r="A10" s="6" t="inlineStr">
        <is>
          <t>A.4</t>
        </is>
      </c>
      <c r="B10" s="6" t="inlineStr">
        <is>
          <t>Ducted split indoor unit (concealed)</t>
        </is>
      </c>
      <c r="C10" s="6" t="inlineStr">
        <is>
          <t>DS-24: 7.0 kW nominal cooling, 380 L/s, ESP 75 Pa, heat 7.6 kW, R410A</t>
        </is>
      </c>
      <c r="D10" s="6" t="inlineStr">
        <is>
          <t>No.</t>
        </is>
      </c>
      <c r="E10" s="6" t="n">
        <v>1</v>
      </c>
      <c r="F10" s="7" t="n">
        <v>0</v>
      </c>
      <c r="G10" s="6">
        <f>ROUNDUP(E10*(1+F10/100),0)</f>
        <v/>
      </c>
      <c r="H10" s="6" t="inlineStr">
        <is>
          <t>Z-GF-03</t>
        </is>
      </c>
      <c r="I10" s="6" t="inlineStr">
        <is>
          <t>Tags: IU-GF-03</t>
        </is>
      </c>
    </row>
    <row r="11">
      <c r="A11" s="6" t="inlineStr">
        <is>
          <t>A.5</t>
        </is>
      </c>
      <c r="B11" s="6" t="inlineStr">
        <is>
          <t>Ducted split indoor unit (concealed)</t>
        </is>
      </c>
      <c r="C11" s="6" t="inlineStr">
        <is>
          <t>DS-48: 14.0 kW nominal cooling, 750 L/s, ESP 100 Pa, heat 15.0 kW, R410A</t>
        </is>
      </c>
      <c r="D11" s="6" t="inlineStr">
        <is>
          <t>No.</t>
        </is>
      </c>
      <c r="E11" s="6" t="n">
        <v>1</v>
      </c>
      <c r="F11" s="7" t="n">
        <v>0</v>
      </c>
      <c r="G11" s="6">
        <f>ROUNDUP(E11*(1+F11/100),0)</f>
        <v/>
      </c>
      <c r="H11" s="6" t="inlineStr">
        <is>
          <t>Z-GF-04</t>
        </is>
      </c>
      <c r="I11" s="6" t="inlineStr">
        <is>
          <t>Tags: IU-GF-04</t>
        </is>
      </c>
    </row>
    <row r="12">
      <c r="A12" s="6" t="inlineStr">
        <is>
          <t>A.6</t>
        </is>
      </c>
      <c r="B12" s="6" t="inlineStr">
        <is>
          <t>Ducted split indoor unit (concealed)</t>
        </is>
      </c>
      <c r="C12" s="6" t="inlineStr">
        <is>
          <t>DS-18: 5.3 kW nominal cooling, 300 L/s, ESP 75 Pa, heat 5.8 kW, R410A</t>
        </is>
      </c>
      <c r="D12" s="6" t="inlineStr">
        <is>
          <t>No.</t>
        </is>
      </c>
      <c r="E12" s="6" t="n">
        <v>1</v>
      </c>
      <c r="F12" s="7" t="n">
        <v>0</v>
      </c>
      <c r="G12" s="6">
        <f>ROUNDUP(E12*(1+F12/100),0)</f>
        <v/>
      </c>
      <c r="H12" s="6" t="inlineStr">
        <is>
          <t>Z-FF-01</t>
        </is>
      </c>
      <c r="I12" s="6" t="inlineStr">
        <is>
          <t>Tags: IU-FF-01</t>
        </is>
      </c>
    </row>
    <row r="13">
      <c r="A13" s="6" t="inlineStr">
        <is>
          <t>A.7</t>
        </is>
      </c>
      <c r="B13" s="6" t="inlineStr">
        <is>
          <t>Ducted split indoor unit (concealed)</t>
        </is>
      </c>
      <c r="C13" s="6" t="inlineStr">
        <is>
          <t>DS-48: 14.0 kW nominal cooling, 750 L/s, ESP 100 Pa, heat 15.0 kW, R410A</t>
        </is>
      </c>
      <c r="D13" s="6" t="inlineStr">
        <is>
          <t>No.</t>
        </is>
      </c>
      <c r="E13" s="6" t="n">
        <v>1</v>
      </c>
      <c r="F13" s="7" t="n">
        <v>0</v>
      </c>
      <c r="G13" s="6">
        <f>ROUNDUP(E13*(1+F13/100),0)</f>
        <v/>
      </c>
      <c r="H13" s="6" t="inlineStr">
        <is>
          <t>Z-FF-02</t>
        </is>
      </c>
      <c r="I13" s="6" t="inlineStr">
        <is>
          <t>Tags: IU-FF-02</t>
        </is>
      </c>
    </row>
    <row r="14">
      <c r="A14" s="6" t="inlineStr">
        <is>
          <t>A.8</t>
        </is>
      </c>
      <c r="B14" s="6" t="inlineStr">
        <is>
          <t>Outdoor condensing unit (heat pump)</t>
        </is>
      </c>
      <c r="C14" s="6" t="inlineStr">
        <is>
          <t>WS-O-18: 5.3 kW nominal, 1.61 kW input, T3 rated, anti-vibration mounts</t>
        </is>
      </c>
      <c r="D14" s="6" t="inlineStr">
        <is>
          <t>No.</t>
        </is>
      </c>
      <c r="E14" s="6" t="n">
        <v>1</v>
      </c>
      <c r="F14" s="7" t="n">
        <v>0</v>
      </c>
      <c r="G14" s="6">
        <f>ROUNDUP(E14*(1+F14/100),0)</f>
        <v/>
      </c>
      <c r="H14" s="6" t="inlineStr">
        <is>
          <t>RF</t>
        </is>
      </c>
      <c r="I14" s="6" t="inlineStr">
        <is>
          <t>Tags: ODU-01</t>
        </is>
      </c>
    </row>
    <row r="15">
      <c r="A15" s="6" t="inlineStr">
        <is>
          <t>A.9</t>
        </is>
      </c>
      <c r="B15" s="6" t="inlineStr">
        <is>
          <t>Outdoor condensing unit (heat pump)</t>
        </is>
      </c>
      <c r="C15" s="6" t="inlineStr">
        <is>
          <t>WS-O-09: 2.6 kW nominal, 0.76 kW input, T3 rated, anti-vibration mounts</t>
        </is>
      </c>
      <c r="D15" s="6" t="inlineStr">
        <is>
          <t>No.</t>
        </is>
      </c>
      <c r="E15" s="6" t="n">
        <v>1</v>
      </c>
      <c r="F15" s="7" t="n">
        <v>0</v>
      </c>
      <c r="G15" s="6">
        <f>ROUNDUP(E15*(1+F15/100),0)</f>
        <v/>
      </c>
      <c r="H15" s="6" t="inlineStr">
        <is>
          <t>RF</t>
        </is>
      </c>
      <c r="I15" s="6" t="inlineStr">
        <is>
          <t>Tags: ODU-02</t>
        </is>
      </c>
    </row>
    <row r="16">
      <c r="A16" s="6" t="inlineStr">
        <is>
          <t>A.10</t>
        </is>
      </c>
      <c r="B16" s="6" t="inlineStr">
        <is>
          <t>Outdoor condensing unit (heat pump)</t>
        </is>
      </c>
      <c r="C16" s="6" t="inlineStr">
        <is>
          <t>DS-O-24: 7.0 kW nominal, 2.19 kW input, T3 rated, anti-vibration mounts</t>
        </is>
      </c>
      <c r="D16" s="6" t="inlineStr">
        <is>
          <t>No.</t>
        </is>
      </c>
      <c r="E16" s="6" t="n">
        <v>1</v>
      </c>
      <c r="F16" s="7" t="n">
        <v>0</v>
      </c>
      <c r="G16" s="6">
        <f>ROUNDUP(E16*(1+F16/100),0)</f>
        <v/>
      </c>
      <c r="H16" s="6" t="inlineStr">
        <is>
          <t>RF</t>
        </is>
      </c>
      <c r="I16" s="6" t="inlineStr">
        <is>
          <t>Tags: ODU-03</t>
        </is>
      </c>
    </row>
    <row r="17">
      <c r="A17" s="6" t="inlineStr">
        <is>
          <t>A.11</t>
        </is>
      </c>
      <c r="B17" s="6" t="inlineStr">
        <is>
          <t>Outdoor condensing unit (heat pump)</t>
        </is>
      </c>
      <c r="C17" s="6" t="inlineStr">
        <is>
          <t>DS-O-48: 14.0 kW nominal, 4.52 kW input, T3 rated, anti-vibration mounts</t>
        </is>
      </c>
      <c r="D17" s="6" t="inlineStr">
        <is>
          <t>No.</t>
        </is>
      </c>
      <c r="E17" s="6" t="n">
        <v>1</v>
      </c>
      <c r="F17" s="7" t="n">
        <v>0</v>
      </c>
      <c r="G17" s="6">
        <f>ROUNDUP(E17*(1+F17/100),0)</f>
        <v/>
      </c>
      <c r="H17" s="6" t="inlineStr">
        <is>
          <t>RF</t>
        </is>
      </c>
      <c r="I17" s="6" t="inlineStr">
        <is>
          <t>Tags: ODU-04</t>
        </is>
      </c>
    </row>
    <row r="18">
      <c r="A18" s="6" t="inlineStr">
        <is>
          <t>A.12</t>
        </is>
      </c>
      <c r="B18" s="6" t="inlineStr">
        <is>
          <t>Outdoor condensing unit (heat pump)</t>
        </is>
      </c>
      <c r="C18" s="6" t="inlineStr">
        <is>
          <t>DS-O-18: 5.3 kW nominal, 1.66 kW input, T3 rated, anti-vibration mounts</t>
        </is>
      </c>
      <c r="D18" s="6" t="inlineStr">
        <is>
          <t>No.</t>
        </is>
      </c>
      <c r="E18" s="6" t="n">
        <v>1</v>
      </c>
      <c r="F18" s="7" t="n">
        <v>0</v>
      </c>
      <c r="G18" s="6">
        <f>ROUNDUP(E18*(1+F18/100),0)</f>
        <v/>
      </c>
      <c r="H18" s="6" t="inlineStr">
        <is>
          <t>RF</t>
        </is>
      </c>
      <c r="I18" s="6" t="inlineStr">
        <is>
          <t>Tags: ODU-05</t>
        </is>
      </c>
    </row>
    <row r="19">
      <c r="A19" s="6" t="inlineStr">
        <is>
          <t>A.13</t>
        </is>
      </c>
      <c r="B19" s="6" t="inlineStr">
        <is>
          <t>Outdoor condensing unit (heat pump)</t>
        </is>
      </c>
      <c r="C19" s="6" t="inlineStr">
        <is>
          <t>DS-O-48: 14.0 kW nominal, 4.52 kW input, T3 rated, anti-vibration mounts</t>
        </is>
      </c>
      <c r="D19" s="6" t="inlineStr">
        <is>
          <t>No.</t>
        </is>
      </c>
      <c r="E19" s="6" t="n">
        <v>1</v>
      </c>
      <c r="F19" s="7" t="n">
        <v>0</v>
      </c>
      <c r="G19" s="6">
        <f>ROUNDUP(E19*(1+F19/100),0)</f>
        <v/>
      </c>
      <c r="H19" s="6" t="inlineStr">
        <is>
          <t>RF</t>
        </is>
      </c>
      <c r="I19" s="6" t="inlineStr">
        <is>
          <t>Tags: ODU-06</t>
        </is>
      </c>
    </row>
    <row r="21">
      <c r="A21" s="4" t="inlineStr">
        <is>
          <t>B. GALVANISED STEEL DUCTWORK (SMACNA)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B.1</t>
        </is>
      </c>
      <c r="B22" s="6" t="inlineStr">
        <is>
          <t>Galvanised sheet steel rectangular duct incl. fittings, joints, sealant</t>
        </is>
      </c>
      <c r="C22" s="6" t="inlineStr">
        <is>
          <t>22 ga (0.85 mm), low pressure (500 Pa) class, Seal class A</t>
        </is>
      </c>
      <c r="D22" s="6" t="inlineStr">
        <is>
          <t>m²</t>
        </is>
      </c>
      <c r="E22" s="6" t="n">
        <v>2.76</v>
      </c>
      <c r="F22" s="7" t="n">
        <v>10</v>
      </c>
      <c r="G22" s="6">
        <f>ROUND(E22*(1+F22/100),2)</f>
        <v/>
      </c>
      <c r="H22" s="6" t="inlineStr">
        <is>
          <t>FF</t>
        </is>
      </c>
      <c r="I22" s="6" t="inlineStr"/>
    </row>
    <row r="23">
      <c r="A23" s="6" t="inlineStr">
        <is>
          <t>B.2</t>
        </is>
      </c>
      <c r="B23" s="6" t="inlineStr">
        <is>
          <t>Galvanised sheet steel rectangular duct incl. fittings, joints, sealant</t>
        </is>
      </c>
      <c r="C23" s="6" t="inlineStr">
        <is>
          <t>24 ga (0.70 mm), low pressure (500 Pa) class, Seal class A</t>
        </is>
      </c>
      <c r="D23" s="6" t="inlineStr">
        <is>
          <t>m²</t>
        </is>
      </c>
      <c r="E23" s="6" t="n">
        <v>4.12</v>
      </c>
      <c r="F23" s="7" t="n">
        <v>10</v>
      </c>
      <c r="G23" s="6">
        <f>ROUND(E23*(1+F23/100),2)</f>
        <v/>
      </c>
      <c r="H23" s="6" t="inlineStr">
        <is>
          <t>FF</t>
        </is>
      </c>
      <c r="I23" s="6" t="inlineStr"/>
    </row>
    <row r="24">
      <c r="A24" s="6" t="inlineStr">
        <is>
          <t>B.3</t>
        </is>
      </c>
      <c r="B24" s="6" t="inlineStr">
        <is>
          <t>Galvanised sheet steel rectangular duct incl. fittings, joints, sealant</t>
        </is>
      </c>
      <c r="C24" s="6" t="inlineStr">
        <is>
          <t>26 ga (0.55 mm), low pressure (500 Pa) class, Seal class A</t>
        </is>
      </c>
      <c r="D24" s="6" t="inlineStr">
        <is>
          <t>m²</t>
        </is>
      </c>
      <c r="E24" s="6" t="n">
        <v>24.81</v>
      </c>
      <c r="F24" s="7" t="n">
        <v>10</v>
      </c>
      <c r="G24" s="6">
        <f>ROUND(E24*(1+F24/100),2)</f>
        <v/>
      </c>
      <c r="H24" s="6" t="inlineStr">
        <is>
          <t>FF</t>
        </is>
      </c>
      <c r="I24" s="6" t="inlineStr"/>
    </row>
    <row r="25">
      <c r="A25" s="6" t="inlineStr">
        <is>
          <t>B.4</t>
        </is>
      </c>
      <c r="B25" s="6" t="inlineStr">
        <is>
          <t>Galvanised sheet steel round spiral duct incl. fittings, joints, sealant</t>
        </is>
      </c>
      <c r="C25" s="6" t="inlineStr">
        <is>
          <t>26 ga (0.55 mm), low pressure (500 Pa) class, Seal class A</t>
        </is>
      </c>
      <c r="D25" s="6" t="inlineStr">
        <is>
          <t>m²</t>
        </is>
      </c>
      <c r="E25" s="6" t="n">
        <v>14.83</v>
      </c>
      <c r="F25" s="7" t="n">
        <v>10</v>
      </c>
      <c r="G25" s="6">
        <f>ROUND(E25*(1+F25/100),2)</f>
        <v/>
      </c>
      <c r="H25" s="6" t="inlineStr">
        <is>
          <t>FF</t>
        </is>
      </c>
      <c r="I25" s="6" t="inlineStr"/>
    </row>
    <row r="26">
      <c r="A26" s="6" t="inlineStr">
        <is>
          <t>B.5</t>
        </is>
      </c>
      <c r="B26" s="6" t="inlineStr">
        <is>
          <t>Galvanised sheet steel rectangular duct incl. fittings, joints, sealant</t>
        </is>
      </c>
      <c r="C26" s="6" t="inlineStr">
        <is>
          <t>22 ga (0.85 mm), low pressure (500 Pa) class, Seal class A</t>
        </is>
      </c>
      <c r="D26" s="6" t="inlineStr">
        <is>
          <t>m²</t>
        </is>
      </c>
      <c r="E26" s="6" t="n">
        <v>2.76</v>
      </c>
      <c r="F26" s="7" t="n">
        <v>10</v>
      </c>
      <c r="G26" s="6">
        <f>ROUND(E26*(1+F26/100),2)</f>
        <v/>
      </c>
      <c r="H26" s="6" t="inlineStr">
        <is>
          <t>GF</t>
        </is>
      </c>
      <c r="I26" s="6" t="inlineStr"/>
    </row>
    <row r="27">
      <c r="A27" s="6" t="inlineStr">
        <is>
          <t>B.6</t>
        </is>
      </c>
      <c r="B27" s="6" t="inlineStr">
        <is>
          <t>Galvanised sheet steel rectangular duct incl. fittings, joints, sealant</t>
        </is>
      </c>
      <c r="C27" s="6" t="inlineStr">
        <is>
          <t>24 ga (0.70 mm), low pressure (500 Pa) class, Seal class A</t>
        </is>
      </c>
      <c r="D27" s="6" t="inlineStr">
        <is>
          <t>m²</t>
        </is>
      </c>
      <c r="E27" s="6" t="n">
        <v>10.32</v>
      </c>
      <c r="F27" s="7" t="n">
        <v>10</v>
      </c>
      <c r="G27" s="6">
        <f>ROUND(E27*(1+F27/100),2)</f>
        <v/>
      </c>
      <c r="H27" s="6" t="inlineStr">
        <is>
          <t>GF</t>
        </is>
      </c>
      <c r="I27" s="6" t="inlineStr"/>
    </row>
    <row r="28">
      <c r="A28" s="6" t="inlineStr">
        <is>
          <t>B.7</t>
        </is>
      </c>
      <c r="B28" s="6" t="inlineStr">
        <is>
          <t>Galvanised sheet steel rectangular duct incl. fittings, joints, sealant</t>
        </is>
      </c>
      <c r="C28" s="6" t="inlineStr">
        <is>
          <t>26 ga (0.55 mm), low pressure (500 Pa) class, Seal class A</t>
        </is>
      </c>
      <c r="D28" s="6" t="inlineStr">
        <is>
          <t>m²</t>
        </is>
      </c>
      <c r="E28" s="6" t="n">
        <v>18.07</v>
      </c>
      <c r="F28" s="7" t="n">
        <v>10</v>
      </c>
      <c r="G28" s="6">
        <f>ROUND(E28*(1+F28/100),2)</f>
        <v/>
      </c>
      <c r="H28" s="6" t="inlineStr">
        <is>
          <t>GF</t>
        </is>
      </c>
      <c r="I28" s="6" t="inlineStr"/>
    </row>
    <row r="29">
      <c r="A29" s="6" t="inlineStr">
        <is>
          <t>B.8</t>
        </is>
      </c>
      <c r="B29" s="6" t="inlineStr">
        <is>
          <t>Galvanised sheet steel round spiral duct incl. fittings, joints, sealant</t>
        </is>
      </c>
      <c r="C29" s="6" t="inlineStr">
        <is>
          <t>26 ga (0.55 mm), low pressure (500 Pa) class, Seal class A</t>
        </is>
      </c>
      <c r="D29" s="6" t="inlineStr">
        <is>
          <t>m²</t>
        </is>
      </c>
      <c r="E29" s="6" t="n">
        <v>11.52</v>
      </c>
      <c r="F29" s="7" t="n">
        <v>10</v>
      </c>
      <c r="G29" s="6">
        <f>ROUND(E29*(1+F29/100),2)</f>
        <v/>
      </c>
      <c r="H29" s="6" t="inlineStr">
        <is>
          <t>GF</t>
        </is>
      </c>
      <c r="I29" s="6" t="inlineStr"/>
    </row>
    <row r="31">
      <c r="A31" s="4" t="inlineStr">
        <is>
          <t>C. FLEXIBLE DUCT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6" t="inlineStr">
        <is>
          <t>C.1</t>
        </is>
      </c>
      <c r="B32" s="6" t="inlineStr">
        <is>
          <t>Insulated flexible duct Ø200</t>
        </is>
      </c>
      <c r="C32" s="6" t="inlineStr">
        <is>
          <t>Insulated flexible duct, aluminium core, 25 mm insulation, UL 181 Class 1</t>
        </is>
      </c>
      <c r="D32" s="6" t="inlineStr">
        <is>
          <t>m</t>
        </is>
      </c>
      <c r="E32" s="6" t="n">
        <v>2.38</v>
      </c>
      <c r="F32" s="7" t="n">
        <v>10</v>
      </c>
      <c r="G32" s="6">
        <f>ROUND(E32*(1+F32/100),2)</f>
        <v/>
      </c>
      <c r="H32" s="6" t="inlineStr">
        <is>
          <t>FF</t>
        </is>
      </c>
      <c r="I32" s="6" t="inlineStr"/>
    </row>
    <row r="33">
      <c r="A33" s="6" t="inlineStr">
        <is>
          <t>C.2</t>
        </is>
      </c>
      <c r="B33" s="6" t="inlineStr">
        <is>
          <t>Insulated flexible duct Ø300</t>
        </is>
      </c>
      <c r="C33" s="6" t="inlineStr">
        <is>
          <t>Insulated flexible duct, aluminium core, 25 mm insulation, UL 181 Class 1</t>
        </is>
      </c>
      <c r="D33" s="6" t="inlineStr">
        <is>
          <t>m</t>
        </is>
      </c>
      <c r="E33" s="6" t="n">
        <v>2.88</v>
      </c>
      <c r="F33" s="7" t="n">
        <v>10</v>
      </c>
      <c r="G33" s="6">
        <f>ROUND(E33*(1+F33/100),2)</f>
        <v/>
      </c>
      <c r="H33" s="6" t="inlineStr">
        <is>
          <t>FF</t>
        </is>
      </c>
      <c r="I33" s="6" t="inlineStr"/>
    </row>
    <row r="34">
      <c r="A34" s="6" t="inlineStr">
        <is>
          <t>C.3</t>
        </is>
      </c>
      <c r="B34" s="6" t="inlineStr">
        <is>
          <t>Insulated flexible duct Ø150</t>
        </is>
      </c>
      <c r="C34" s="6" t="inlineStr">
        <is>
          <t>Insulated flexible duct, aluminium core, 25 mm insulation, UL 181 Class 1</t>
        </is>
      </c>
      <c r="D34" s="6" t="inlineStr">
        <is>
          <t>m</t>
        </is>
      </c>
      <c r="E34" s="6" t="n">
        <v>2.44</v>
      </c>
      <c r="F34" s="7" t="n">
        <v>10</v>
      </c>
      <c r="G34" s="6">
        <f>ROUND(E34*(1+F34/100),2)</f>
        <v/>
      </c>
      <c r="H34" s="6" t="inlineStr">
        <is>
          <t>GF</t>
        </is>
      </c>
      <c r="I34" s="6" t="inlineStr"/>
    </row>
    <row r="35">
      <c r="A35" s="6" t="inlineStr">
        <is>
          <t>C.4</t>
        </is>
      </c>
      <c r="B35" s="6" t="inlineStr">
        <is>
          <t>Insulated flexible duct Ø250</t>
        </is>
      </c>
      <c r="C35" s="6" t="inlineStr">
        <is>
          <t>Insulated flexible duct, aluminium core, 25 mm insulation, UL 181 Class 1</t>
        </is>
      </c>
      <c r="D35" s="6" t="inlineStr">
        <is>
          <t>m</t>
        </is>
      </c>
      <c r="E35" s="6" t="n">
        <v>2.38</v>
      </c>
      <c r="F35" s="7" t="n">
        <v>10</v>
      </c>
      <c r="G35" s="6">
        <f>ROUND(E35*(1+F35/100),2)</f>
        <v/>
      </c>
      <c r="H35" s="6" t="inlineStr">
        <is>
          <t>GF</t>
        </is>
      </c>
      <c r="I35" s="6" t="inlineStr"/>
    </row>
    <row r="36">
      <c r="A36" s="6" t="inlineStr">
        <is>
          <t>C.5</t>
        </is>
      </c>
      <c r="B36" s="6" t="inlineStr">
        <is>
          <t>Insulated flexible duct Ø350</t>
        </is>
      </c>
      <c r="C36" s="6" t="inlineStr">
        <is>
          <t>Insulated flexible duct, aluminium core, 25 mm insulation, UL 181 Class 1</t>
        </is>
      </c>
      <c r="D36" s="6" t="inlineStr">
        <is>
          <t>m</t>
        </is>
      </c>
      <c r="E36" s="6" t="n">
        <v>2.88</v>
      </c>
      <c r="F36" s="7" t="n">
        <v>10</v>
      </c>
      <c r="G36" s="6">
        <f>ROUND(E36*(1+F36/100),2)</f>
        <v/>
      </c>
      <c r="H36" s="6" t="inlineStr">
        <is>
          <t>GF</t>
        </is>
      </c>
      <c r="I36" s="6" t="inlineStr"/>
    </row>
    <row r="38">
      <c r="A38" s="4" t="inlineStr">
        <is>
          <t>D. AIR TERMINALS AND LOUVERS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inlineStr">
        <is>
          <t>D.1</t>
        </is>
      </c>
      <c r="B39" s="6" t="inlineStr">
        <is>
          <t>4-way square ceiling diffuser with OBD and plenum box</t>
        </is>
      </c>
      <c r="C39" s="6" t="inlineStr">
        <is>
          <t>SD-150 neck Ø150, face 300x300</t>
        </is>
      </c>
      <c r="D39" s="6" t="inlineStr">
        <is>
          <t>No.</t>
        </is>
      </c>
      <c r="E39" s="6" t="n">
        <v>6</v>
      </c>
      <c r="F39" s="7" t="n">
        <v>0</v>
      </c>
      <c r="G39" s="6">
        <f>ROUNDUP(E39*(1+F39/100),0)</f>
        <v/>
      </c>
      <c r="H39" s="6" t="inlineStr">
        <is>
          <t>FF</t>
        </is>
      </c>
      <c r="I39" s="6" t="inlineStr">
        <is>
          <t>Tags: SD-FF-03, SD-FF-07, SD-FF-08, SD-FF-09, SD-FF-10, SD-FF-11</t>
        </is>
      </c>
    </row>
    <row r="40">
      <c r="A40" s="6" t="inlineStr">
        <is>
          <t>D.2</t>
        </is>
      </c>
      <c r="B40" s="6" t="inlineStr">
        <is>
          <t>4-way square ceiling diffuser with OBD and plenum box</t>
        </is>
      </c>
      <c r="C40" s="6" t="inlineStr">
        <is>
          <t>SD-150 neck Ø150, face 300x300</t>
        </is>
      </c>
      <c r="D40" s="6" t="inlineStr">
        <is>
          <t>No.</t>
        </is>
      </c>
      <c r="E40" s="6" t="n">
        <v>4</v>
      </c>
      <c r="F40" s="7" t="n">
        <v>0</v>
      </c>
      <c r="G40" s="6">
        <f>ROUNDUP(E40*(1+F40/100),0)</f>
        <v/>
      </c>
      <c r="H40" s="6" t="inlineStr">
        <is>
          <t>GF</t>
        </is>
      </c>
      <c r="I40" s="6" t="inlineStr">
        <is>
          <t>Tags: SD-GF-05, SD-GF-06, SD-GF-07, SD-GF-08</t>
        </is>
      </c>
    </row>
    <row r="41">
      <c r="A41" s="6" t="inlineStr">
        <is>
          <t>D.3</t>
        </is>
      </c>
      <c r="B41" s="6" t="inlineStr">
        <is>
          <t>4-way square ceiling diffuser with OBD and plenum box</t>
        </is>
      </c>
      <c r="C41" s="6" t="inlineStr">
        <is>
          <t>SD-200 neck Ø200, face 450x450</t>
        </is>
      </c>
      <c r="D41" s="6" t="inlineStr">
        <is>
          <t>No.</t>
        </is>
      </c>
      <c r="E41" s="6" t="n">
        <v>3</v>
      </c>
      <c r="F41" s="7" t="n">
        <v>0</v>
      </c>
      <c r="G41" s="6">
        <f>ROUNDUP(E41*(1+F41/100),0)</f>
        <v/>
      </c>
      <c r="H41" s="6" t="inlineStr">
        <is>
          <t>FF</t>
        </is>
      </c>
      <c r="I41" s="6" t="inlineStr">
        <is>
          <t>Tags: SD-FF-04, SD-FF-05, SD-FF-06</t>
        </is>
      </c>
    </row>
    <row r="42">
      <c r="A42" s="6" t="inlineStr">
        <is>
          <t>D.4</t>
        </is>
      </c>
      <c r="B42" s="6" t="inlineStr">
        <is>
          <t>4-way square ceiling diffuser with OBD and plenum box</t>
        </is>
      </c>
      <c r="C42" s="6" t="inlineStr">
        <is>
          <t>SD-200 neck Ø200, face 450x450</t>
        </is>
      </c>
      <c r="D42" s="6" t="inlineStr">
        <is>
          <t>No.</t>
        </is>
      </c>
      <c r="E42" s="6" t="n">
        <v>2</v>
      </c>
      <c r="F42" s="7" t="n">
        <v>0</v>
      </c>
      <c r="G42" s="6">
        <f>ROUNDUP(E42*(1+F42/100),0)</f>
        <v/>
      </c>
      <c r="H42" s="6" t="inlineStr">
        <is>
          <t>GF</t>
        </is>
      </c>
      <c r="I42" s="6" t="inlineStr">
        <is>
          <t>Tags: SD-GF-03, SD-GF-04</t>
        </is>
      </c>
    </row>
    <row r="43">
      <c r="A43" s="6" t="inlineStr">
        <is>
          <t>D.5</t>
        </is>
      </c>
      <c r="B43" s="6" t="inlineStr">
        <is>
          <t>4-way square ceiling diffuser with OBD and plenum box</t>
        </is>
      </c>
      <c r="C43" s="6" t="inlineStr">
        <is>
          <t>SD-250 neck Ø250, face 600x600</t>
        </is>
      </c>
      <c r="D43" s="6" t="inlineStr">
        <is>
          <t>No.</t>
        </is>
      </c>
      <c r="E43" s="6" t="n">
        <v>3</v>
      </c>
      <c r="F43" s="7" t="n">
        <v>0</v>
      </c>
      <c r="G43" s="6">
        <f>ROUNDUP(E43*(1+F43/100),0)</f>
        <v/>
      </c>
      <c r="H43" s="6" t="inlineStr">
        <is>
          <t>FF</t>
        </is>
      </c>
      <c r="I43" s="6" t="inlineStr">
        <is>
          <t>Tags: SD-FF-01, SD-FF-02, SD-FF-12</t>
        </is>
      </c>
    </row>
    <row r="44">
      <c r="A44" s="6" t="inlineStr">
        <is>
          <t>D.6</t>
        </is>
      </c>
      <c r="B44" s="6" t="inlineStr">
        <is>
          <t>4-way square ceiling diffuser with OBD and plenum box</t>
        </is>
      </c>
      <c r="C44" s="6" t="inlineStr">
        <is>
          <t>SD-250 neck Ø250, face 600x600</t>
        </is>
      </c>
      <c r="D44" s="6" t="inlineStr">
        <is>
          <t>No.</t>
        </is>
      </c>
      <c r="E44" s="6" t="n">
        <v>4</v>
      </c>
      <c r="F44" s="7" t="n">
        <v>0</v>
      </c>
      <c r="G44" s="6">
        <f>ROUNDUP(E44*(1+F44/100),0)</f>
        <v/>
      </c>
      <c r="H44" s="6" t="inlineStr">
        <is>
          <t>GF</t>
        </is>
      </c>
      <c r="I44" s="6" t="inlineStr">
        <is>
          <t>Tags: SD-GF-01, SD-GF-02, SD-GF-09, SD-GF-10</t>
        </is>
      </c>
    </row>
    <row r="45">
      <c r="A45" s="6" t="inlineStr">
        <is>
          <t>D.7</t>
        </is>
      </c>
      <c r="B45" s="6" t="inlineStr">
        <is>
          <t>Door transfer grille</t>
        </is>
      </c>
      <c r="C45" s="6" t="inlineStr">
        <is>
          <t>450x150 aluminium sight-proof, by door supplier / HVAC</t>
        </is>
      </c>
      <c r="D45" s="6" t="inlineStr">
        <is>
          <t>No.</t>
        </is>
      </c>
      <c r="E45" s="6" t="n">
        <v>5</v>
      </c>
      <c r="F45" s="7" t="n">
        <v>0</v>
      </c>
      <c r="G45" s="6">
        <f>ROUNDUP(E45*(1+F45/100),0)</f>
        <v/>
      </c>
      <c r="H45" s="6" t="inlineStr">
        <is>
          <t>FF</t>
        </is>
      </c>
      <c r="I45" s="6" t="inlineStr">
        <is>
          <t>rooms FF-03, FF-10, FF-08, FF-05, FF-09</t>
        </is>
      </c>
    </row>
    <row r="46">
      <c r="A46" s="6" t="inlineStr">
        <is>
          <t>D.8</t>
        </is>
      </c>
      <c r="B46" s="6" t="inlineStr">
        <is>
          <t>Door transfer grille</t>
        </is>
      </c>
      <c r="C46" s="6" t="inlineStr">
        <is>
          <t>450x150 aluminium sight-proof, by door supplier / HVAC</t>
        </is>
      </c>
      <c r="D46" s="6" t="inlineStr">
        <is>
          <t>No.</t>
        </is>
      </c>
      <c r="E46" s="6" t="n">
        <v>3</v>
      </c>
      <c r="F46" s="7" t="n">
        <v>0</v>
      </c>
      <c r="G46" s="6">
        <f>ROUNDUP(E46*(1+F46/100),0)</f>
        <v/>
      </c>
      <c r="H46" s="6" t="inlineStr">
        <is>
          <t>GF</t>
        </is>
      </c>
      <c r="I46" s="6" t="inlineStr">
        <is>
          <t>rooms GF-01, GF-05, GF-03</t>
        </is>
      </c>
    </row>
    <row r="47">
      <c r="A47" s="6" t="inlineStr">
        <is>
          <t>D.9</t>
        </is>
      </c>
      <c r="B47" s="6" t="inlineStr">
        <is>
          <t>Exhaust grille</t>
        </is>
      </c>
      <c r="C47" s="6" t="inlineStr">
        <is>
          <t>150x150, aluminium, eggcrate</t>
        </is>
      </c>
      <c r="D47" s="6" t="inlineStr">
        <is>
          <t>No.</t>
        </is>
      </c>
      <c r="E47" s="6" t="n">
        <v>4</v>
      </c>
      <c r="F47" s="7" t="n">
        <v>0</v>
      </c>
      <c r="G47" s="6">
        <f>ROUNDUP(E47*(1+F47/100),0)</f>
        <v/>
      </c>
      <c r="H47" s="6" t="inlineStr">
        <is>
          <t>FF</t>
        </is>
      </c>
      <c r="I47" s="6" t="inlineStr">
        <is>
          <t>Tags: EG-FF-01, EG-FF-02, EG-FF-03, EG-FF-04</t>
        </is>
      </c>
    </row>
    <row r="48">
      <c r="A48" s="6" t="inlineStr">
        <is>
          <t>D.10</t>
        </is>
      </c>
      <c r="B48" s="6" t="inlineStr">
        <is>
          <t>Exhaust grille</t>
        </is>
      </c>
      <c r="C48" s="6" t="inlineStr">
        <is>
          <t>150x150, aluminium, eggcrate</t>
        </is>
      </c>
      <c r="D48" s="6" t="inlineStr">
        <is>
          <t>No.</t>
        </is>
      </c>
      <c r="E48" s="6" t="n">
        <v>3</v>
      </c>
      <c r="F48" s="7" t="n">
        <v>0</v>
      </c>
      <c r="G48" s="6">
        <f>ROUNDUP(E48*(1+F48/100),0)</f>
        <v/>
      </c>
      <c r="H48" s="6" t="inlineStr">
        <is>
          <t>GF</t>
        </is>
      </c>
      <c r="I48" s="6" t="inlineStr">
        <is>
          <t>Tags: EG-GF-02, EG-GF-03, EG-GF-04</t>
        </is>
      </c>
    </row>
    <row r="49">
      <c r="A49" s="6" t="inlineStr">
        <is>
          <t>D.11</t>
        </is>
      </c>
      <c r="B49" s="6" t="inlineStr">
        <is>
          <t>Exhaust grille</t>
        </is>
      </c>
      <c r="C49" s="6" t="inlineStr">
        <is>
          <t>200x200, aluminium, eggcrate</t>
        </is>
      </c>
      <c r="D49" s="6" t="inlineStr">
        <is>
          <t>No.</t>
        </is>
      </c>
      <c r="E49" s="6" t="n">
        <v>1</v>
      </c>
      <c r="F49" s="7" t="n">
        <v>0</v>
      </c>
      <c r="G49" s="6">
        <f>ROUNDUP(E49*(1+F49/100),0)</f>
        <v/>
      </c>
      <c r="H49" s="6" t="inlineStr">
        <is>
          <t>GF</t>
        </is>
      </c>
      <c r="I49" s="6" t="inlineStr">
        <is>
          <t>Tags: EG-GF-01</t>
        </is>
      </c>
    </row>
    <row r="50">
      <c r="A50" s="6" t="inlineStr">
        <is>
          <t>D.12</t>
        </is>
      </c>
      <c r="B50" s="6" t="inlineStr">
        <is>
          <t>Exhaust wall louver / cowl with backdraft shutter</t>
        </is>
      </c>
      <c r="C50" s="6" t="inlineStr">
        <is>
          <t>200x200, aluminium</t>
        </is>
      </c>
      <c r="D50" s="6" t="inlineStr">
        <is>
          <t>No.</t>
        </is>
      </c>
      <c r="E50" s="6" t="n">
        <v>4</v>
      </c>
      <c r="F50" s="7" t="n">
        <v>0</v>
      </c>
      <c r="G50" s="6">
        <f>ROUNDUP(E50*(1+F50/100),0)</f>
        <v/>
      </c>
      <c r="H50" s="6" t="inlineStr">
        <is>
          <t>FF</t>
        </is>
      </c>
      <c r="I50" s="6" t="inlineStr">
        <is>
          <t>Tags: EAL-FF-01, EAL-FF-02, EAL-FF-03, EAL-FF-04</t>
        </is>
      </c>
    </row>
    <row r="51">
      <c r="A51" s="6" t="inlineStr">
        <is>
          <t>D.13</t>
        </is>
      </c>
      <c r="B51" s="6" t="inlineStr">
        <is>
          <t>Exhaust wall louver / cowl with backdraft shutter</t>
        </is>
      </c>
      <c r="C51" s="6" t="inlineStr">
        <is>
          <t>200x200, aluminium</t>
        </is>
      </c>
      <c r="D51" s="6" t="inlineStr">
        <is>
          <t>No.</t>
        </is>
      </c>
      <c r="E51" s="6" t="n">
        <v>3</v>
      </c>
      <c r="F51" s="7" t="n">
        <v>0</v>
      </c>
      <c r="G51" s="6">
        <f>ROUNDUP(E51*(1+F51/100),0)</f>
        <v/>
      </c>
      <c r="H51" s="6" t="inlineStr">
        <is>
          <t>GF</t>
        </is>
      </c>
      <c r="I51" s="6" t="inlineStr">
        <is>
          <t>Tags: EAL-GF-02, EAL-GF-03, EAL-GF-04</t>
        </is>
      </c>
    </row>
    <row r="52">
      <c r="A52" s="6" t="inlineStr">
        <is>
          <t>D.14</t>
        </is>
      </c>
      <c r="B52" s="6" t="inlineStr">
        <is>
          <t>Exhaust wall louver / cowl with backdraft shutter</t>
        </is>
      </c>
      <c r="C52" s="6" t="inlineStr">
        <is>
          <t>300x200, aluminium</t>
        </is>
      </c>
      <c r="D52" s="6" t="inlineStr">
        <is>
          <t>No.</t>
        </is>
      </c>
      <c r="E52" s="6" t="n">
        <v>1</v>
      </c>
      <c r="F52" s="7" t="n">
        <v>0</v>
      </c>
      <c r="G52" s="6">
        <f>ROUNDUP(E52*(1+F52/100),0)</f>
        <v/>
      </c>
      <c r="H52" s="6" t="inlineStr">
        <is>
          <t>GF</t>
        </is>
      </c>
      <c r="I52" s="6" t="inlineStr">
        <is>
          <t>Tags: EAL-GF-01</t>
        </is>
      </c>
    </row>
    <row r="53">
      <c r="A53" s="6" t="inlineStr">
        <is>
          <t>D.15</t>
        </is>
      </c>
      <c r="B53" s="6" t="inlineStr">
        <is>
          <t>Fresh air louver with bird screen and sand trap</t>
        </is>
      </c>
      <c r="C53" s="6" t="inlineStr">
        <is>
          <t>200x200, aluminium</t>
        </is>
      </c>
      <c r="D53" s="6" t="inlineStr">
        <is>
          <t>No.</t>
        </is>
      </c>
      <c r="E53" s="6" t="n">
        <v>1</v>
      </c>
      <c r="F53" s="7" t="n">
        <v>0</v>
      </c>
      <c r="G53" s="6">
        <f>ROUNDUP(E53*(1+F53/100),0)</f>
        <v/>
      </c>
      <c r="H53" s="6" t="inlineStr">
        <is>
          <t>FF</t>
        </is>
      </c>
      <c r="I53" s="6" t="inlineStr">
        <is>
          <t>Tags: FAL-FF-01</t>
        </is>
      </c>
    </row>
    <row r="54">
      <c r="A54" s="6" t="inlineStr">
        <is>
          <t>D.16</t>
        </is>
      </c>
      <c r="B54" s="6" t="inlineStr">
        <is>
          <t>Fresh air louver with bird screen and sand trap</t>
        </is>
      </c>
      <c r="C54" s="6" t="inlineStr">
        <is>
          <t>300x200, aluminium</t>
        </is>
      </c>
      <c r="D54" s="6" t="inlineStr">
        <is>
          <t>No.</t>
        </is>
      </c>
      <c r="E54" s="6" t="n">
        <v>1</v>
      </c>
      <c r="F54" s="7" t="n">
        <v>0</v>
      </c>
      <c r="G54" s="6">
        <f>ROUNDUP(E54*(1+F54/100),0)</f>
        <v/>
      </c>
      <c r="H54" s="6" t="inlineStr">
        <is>
          <t>GF</t>
        </is>
      </c>
      <c r="I54" s="6" t="inlineStr">
        <is>
          <t>Tags: FAL-GF-01</t>
        </is>
      </c>
    </row>
    <row r="55">
      <c r="A55" s="6" t="inlineStr">
        <is>
          <t>D.17</t>
        </is>
      </c>
      <c r="B55" s="6" t="inlineStr">
        <is>
          <t>Fresh air louver with bird screen and sand trap</t>
        </is>
      </c>
      <c r="C55" s="6" t="inlineStr">
        <is>
          <t>450x300, aluminium</t>
        </is>
      </c>
      <c r="D55" s="6" t="inlineStr">
        <is>
          <t>No.</t>
        </is>
      </c>
      <c r="E55" s="6" t="n">
        <v>1</v>
      </c>
      <c r="F55" s="7" t="n">
        <v>0</v>
      </c>
      <c r="G55" s="6">
        <f>ROUNDUP(E55*(1+F55/100),0)</f>
        <v/>
      </c>
      <c r="H55" s="6" t="inlineStr">
        <is>
          <t>FF</t>
        </is>
      </c>
      <c r="I55" s="6" t="inlineStr">
        <is>
          <t>Tags: FAL-FF-02</t>
        </is>
      </c>
    </row>
    <row r="56">
      <c r="A56" s="6" t="inlineStr">
        <is>
          <t>D.18</t>
        </is>
      </c>
      <c r="B56" s="6" t="inlineStr">
        <is>
          <t>Fresh air louver with bird screen and sand trap</t>
        </is>
      </c>
      <c r="C56" s="6" t="inlineStr">
        <is>
          <t>450x300, aluminium</t>
        </is>
      </c>
      <c r="D56" s="6" t="inlineStr">
        <is>
          <t>No.</t>
        </is>
      </c>
      <c r="E56" s="6" t="n">
        <v>1</v>
      </c>
      <c r="F56" s="7" t="n">
        <v>0</v>
      </c>
      <c r="G56" s="6">
        <f>ROUNDUP(E56*(1+F56/100),0)</f>
        <v/>
      </c>
      <c r="H56" s="6" t="inlineStr">
        <is>
          <t>GF</t>
        </is>
      </c>
      <c r="I56" s="6" t="inlineStr">
        <is>
          <t>Tags: FAL-GF-02</t>
        </is>
      </c>
    </row>
    <row r="57">
      <c r="A57" s="6" t="inlineStr">
        <is>
          <t>D.19</t>
        </is>
      </c>
      <c r="B57" s="6" t="inlineStr">
        <is>
          <t>Return grille with filter and plenum box</t>
        </is>
      </c>
      <c r="C57" s="6" t="inlineStr">
        <is>
          <t>600x450, aluminium, eggcrate</t>
        </is>
      </c>
      <c r="D57" s="6" t="inlineStr">
        <is>
          <t>No.</t>
        </is>
      </c>
      <c r="E57" s="6" t="n">
        <v>1</v>
      </c>
      <c r="F57" s="7" t="n">
        <v>0</v>
      </c>
      <c r="G57" s="6">
        <f>ROUNDUP(E57*(1+F57/100),0)</f>
        <v/>
      </c>
      <c r="H57" s="6" t="inlineStr">
        <is>
          <t>FF</t>
        </is>
      </c>
      <c r="I57" s="6" t="inlineStr">
        <is>
          <t>Tags: RG-FF-01</t>
        </is>
      </c>
    </row>
    <row r="58">
      <c r="A58" s="6" t="inlineStr">
        <is>
          <t>D.20</t>
        </is>
      </c>
      <c r="B58" s="6" t="inlineStr">
        <is>
          <t>Return grille with filter and plenum box</t>
        </is>
      </c>
      <c r="C58" s="6" t="inlineStr">
        <is>
          <t>600x450, aluminium, eggcrate</t>
        </is>
      </c>
      <c r="D58" s="6" t="inlineStr">
        <is>
          <t>No.</t>
        </is>
      </c>
      <c r="E58" s="6" t="n">
        <v>1</v>
      </c>
      <c r="F58" s="7" t="n">
        <v>0</v>
      </c>
      <c r="G58" s="6">
        <f>ROUNDUP(E58*(1+F58/100),0)</f>
        <v/>
      </c>
      <c r="H58" s="6" t="inlineStr">
        <is>
          <t>GF</t>
        </is>
      </c>
      <c r="I58" s="6" t="inlineStr">
        <is>
          <t>Tags: RG-GF-01</t>
        </is>
      </c>
    </row>
    <row r="59">
      <c r="A59" s="6" t="inlineStr">
        <is>
          <t>D.21</t>
        </is>
      </c>
      <c r="B59" s="6" t="inlineStr">
        <is>
          <t>Return grille with filter and plenum box</t>
        </is>
      </c>
      <c r="C59" s="6" t="inlineStr">
        <is>
          <t>900x600, aluminium, eggcrate</t>
        </is>
      </c>
      <c r="D59" s="6" t="inlineStr">
        <is>
          <t>No.</t>
        </is>
      </c>
      <c r="E59" s="6" t="n">
        <v>1</v>
      </c>
      <c r="F59" s="7" t="n">
        <v>0</v>
      </c>
      <c r="G59" s="6">
        <f>ROUNDUP(E59*(1+F59/100),0)</f>
        <v/>
      </c>
      <c r="H59" s="6" t="inlineStr">
        <is>
          <t>FF</t>
        </is>
      </c>
      <c r="I59" s="6" t="inlineStr">
        <is>
          <t>Tags: RG-FF-02</t>
        </is>
      </c>
    </row>
    <row r="60">
      <c r="A60" s="6" t="inlineStr">
        <is>
          <t>D.22</t>
        </is>
      </c>
      <c r="B60" s="6" t="inlineStr">
        <is>
          <t>Return grille with filter and plenum box</t>
        </is>
      </c>
      <c r="C60" s="6" t="inlineStr">
        <is>
          <t>900x600, aluminium, eggcrate</t>
        </is>
      </c>
      <c r="D60" s="6" t="inlineStr">
        <is>
          <t>No.</t>
        </is>
      </c>
      <c r="E60" s="6" t="n">
        <v>1</v>
      </c>
      <c r="F60" s="7" t="n">
        <v>0</v>
      </c>
      <c r="G60" s="6">
        <f>ROUNDUP(E60*(1+F60/100),0)</f>
        <v/>
      </c>
      <c r="H60" s="6" t="inlineStr">
        <is>
          <t>GF</t>
        </is>
      </c>
      <c r="I60" s="6" t="inlineStr">
        <is>
          <t>Tags: RG-GF-02</t>
        </is>
      </c>
    </row>
    <row r="62">
      <c r="A62" s="4" t="inlineStr">
        <is>
          <t>E. DAMPERS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6" t="inlineStr">
        <is>
          <t>E.1</t>
        </is>
      </c>
      <c r="B63" s="6" t="inlineStr">
        <is>
          <t>Volume control damper (branch), opposed blade</t>
        </is>
      </c>
      <c r="C63" s="6" t="inlineStr">
        <is>
          <t>150x150</t>
        </is>
      </c>
      <c r="D63" s="6" t="inlineStr">
        <is>
          <t>No.</t>
        </is>
      </c>
      <c r="E63" s="6" t="n">
        <v>3</v>
      </c>
      <c r="F63" s="7" t="n">
        <v>0</v>
      </c>
      <c r="G63" s="6">
        <f>ROUNDUP(E63*(1+F63/100),0)</f>
        <v/>
      </c>
      <c r="H63" s="6" t="inlineStr">
        <is>
          <t>FF</t>
        </is>
      </c>
      <c r="I63" s="6" t="inlineStr">
        <is>
          <t>zones Z-FF-02</t>
        </is>
      </c>
    </row>
    <row r="64">
      <c r="A64" s="6" t="inlineStr">
        <is>
          <t>E.2</t>
        </is>
      </c>
      <c r="B64" s="6" t="inlineStr">
        <is>
          <t>Volume control damper (branch), opposed blade</t>
        </is>
      </c>
      <c r="C64" s="6" t="inlineStr">
        <is>
          <t>200x200</t>
        </is>
      </c>
      <c r="D64" s="6" t="inlineStr">
        <is>
          <t>No.</t>
        </is>
      </c>
      <c r="E64" s="6" t="n">
        <v>1</v>
      </c>
      <c r="F64" s="7" t="n">
        <v>0</v>
      </c>
      <c r="G64" s="6">
        <f>ROUNDUP(E64*(1+F64/100),0)</f>
        <v/>
      </c>
      <c r="H64" s="6" t="inlineStr">
        <is>
          <t>FF</t>
        </is>
      </c>
      <c r="I64" s="6" t="inlineStr">
        <is>
          <t>zones Z-FF-02</t>
        </is>
      </c>
    </row>
    <row r="65">
      <c r="A65" s="6" t="inlineStr">
        <is>
          <t>E.3</t>
        </is>
      </c>
      <c r="B65" s="6" t="inlineStr">
        <is>
          <t>Volume control damper (branch), opposed blade</t>
        </is>
      </c>
      <c r="C65" s="6" t="inlineStr">
        <is>
          <t>300x300</t>
        </is>
      </c>
      <c r="D65" s="6" t="inlineStr">
        <is>
          <t>No.</t>
        </is>
      </c>
      <c r="E65" s="6" t="n">
        <v>1</v>
      </c>
      <c r="F65" s="7" t="n">
        <v>0</v>
      </c>
      <c r="G65" s="6">
        <f>ROUNDUP(E65*(1+F65/100),0)</f>
        <v/>
      </c>
      <c r="H65" s="6" t="inlineStr">
        <is>
          <t>FF</t>
        </is>
      </c>
      <c r="I65" s="6" t="inlineStr">
        <is>
          <t>zones Z-FF-01</t>
        </is>
      </c>
    </row>
    <row r="66">
      <c r="A66" s="6" t="inlineStr">
        <is>
          <t>E.4</t>
        </is>
      </c>
      <c r="B66" s="6" t="inlineStr">
        <is>
          <t>Volume control damper (branch), opposed blade</t>
        </is>
      </c>
      <c r="C66" s="6" t="inlineStr">
        <is>
          <t>400x300</t>
        </is>
      </c>
      <c r="D66" s="6" t="inlineStr">
        <is>
          <t>No.</t>
        </is>
      </c>
      <c r="E66" s="6" t="n">
        <v>1</v>
      </c>
      <c r="F66" s="7" t="n">
        <v>0</v>
      </c>
      <c r="G66" s="6">
        <f>ROUNDUP(E66*(1+F66/100),0)</f>
        <v/>
      </c>
      <c r="H66" s="6" t="inlineStr">
        <is>
          <t>FF</t>
        </is>
      </c>
      <c r="I66" s="6" t="inlineStr">
        <is>
          <t>zones Z-FF-02</t>
        </is>
      </c>
    </row>
    <row r="67">
      <c r="A67" s="6" t="inlineStr">
        <is>
          <t>E.5</t>
        </is>
      </c>
      <c r="B67" s="6" t="inlineStr">
        <is>
          <t>Volume control damper (branch), opposed blade</t>
        </is>
      </c>
      <c r="C67" s="6" t="inlineStr">
        <is>
          <t>200x150</t>
        </is>
      </c>
      <c r="D67" s="6" t="inlineStr">
        <is>
          <t>No.</t>
        </is>
      </c>
      <c r="E67" s="6" t="n">
        <v>1</v>
      </c>
      <c r="F67" s="7" t="n">
        <v>0</v>
      </c>
      <c r="G67" s="6">
        <f>ROUNDUP(E67*(1+F67/100),0)</f>
        <v/>
      </c>
      <c r="H67" s="6" t="inlineStr">
        <is>
          <t>GF</t>
        </is>
      </c>
      <c r="I67" s="6" t="inlineStr">
        <is>
          <t>zones Z-GF-04</t>
        </is>
      </c>
    </row>
    <row r="68">
      <c r="A68" s="6" t="inlineStr">
        <is>
          <t>E.6</t>
        </is>
      </c>
      <c r="B68" s="6" t="inlineStr">
        <is>
          <t>Volume control damper (branch), opposed blade</t>
        </is>
      </c>
      <c r="C68" s="6" t="inlineStr">
        <is>
          <t>300x300</t>
        </is>
      </c>
      <c r="D68" s="6" t="inlineStr">
        <is>
          <t>No.</t>
        </is>
      </c>
      <c r="E68" s="6" t="n">
        <v>1</v>
      </c>
      <c r="F68" s="7" t="n">
        <v>0</v>
      </c>
      <c r="G68" s="6">
        <f>ROUNDUP(E68*(1+F68/100),0)</f>
        <v/>
      </c>
      <c r="H68" s="6" t="inlineStr">
        <is>
          <t>GF</t>
        </is>
      </c>
      <c r="I68" s="6" t="inlineStr">
        <is>
          <t>zones Z-GF-04</t>
        </is>
      </c>
    </row>
    <row r="69">
      <c r="A69" s="6" t="inlineStr">
        <is>
          <t>E.7</t>
        </is>
      </c>
      <c r="B69" s="6" t="inlineStr">
        <is>
          <t>Volume control damper (branch), opposed blade</t>
        </is>
      </c>
      <c r="C69" s="6" t="inlineStr">
        <is>
          <t>400x300</t>
        </is>
      </c>
      <c r="D69" s="6" t="inlineStr">
        <is>
          <t>No.</t>
        </is>
      </c>
      <c r="E69" s="6" t="n">
        <v>1</v>
      </c>
      <c r="F69" s="7" t="n">
        <v>0</v>
      </c>
      <c r="G69" s="6">
        <f>ROUNDUP(E69*(1+F69/100),0)</f>
        <v/>
      </c>
      <c r="H69" s="6" t="inlineStr">
        <is>
          <t>GF</t>
        </is>
      </c>
      <c r="I69" s="6" t="inlineStr">
        <is>
          <t>zones Z-GF-04</t>
        </is>
      </c>
    </row>
    <row r="70">
      <c r="A70" s="6" t="inlineStr">
        <is>
          <t>E.8</t>
        </is>
      </c>
      <c r="B70" s="6" t="inlineStr">
        <is>
          <t>Volume control damper on fresh air duct</t>
        </is>
      </c>
      <c r="C70" s="6" t="inlineStr">
        <is>
          <t>Ø150</t>
        </is>
      </c>
      <c r="D70" s="6" t="inlineStr">
        <is>
          <t>No.</t>
        </is>
      </c>
      <c r="E70" s="6" t="n">
        <v>1</v>
      </c>
      <c r="F70" s="7" t="n">
        <v>0</v>
      </c>
      <c r="G70" s="6">
        <f>ROUNDUP(E70*(1+F70/100),0)</f>
        <v/>
      </c>
      <c r="H70" s="6" t="inlineStr">
        <is>
          <t>Z-GF-03</t>
        </is>
      </c>
      <c r="I70" s="6" t="inlineStr"/>
    </row>
    <row r="71">
      <c r="A71" s="6" t="inlineStr">
        <is>
          <t>E.9</t>
        </is>
      </c>
      <c r="B71" s="6" t="inlineStr">
        <is>
          <t>Motorised fresh air damper, 24 V on/off, interlocked with indoor unit</t>
        </is>
      </c>
      <c r="C71" s="6" t="inlineStr">
        <is>
          <t>Ø150</t>
        </is>
      </c>
      <c r="D71" s="6" t="inlineStr">
        <is>
          <t>No.</t>
        </is>
      </c>
      <c r="E71" s="6" t="n">
        <v>1</v>
      </c>
      <c r="F71" s="7" t="n">
        <v>0</v>
      </c>
      <c r="G71" s="6">
        <f>ROUNDUP(E71*(1+F71/100),0)</f>
        <v/>
      </c>
      <c r="H71" s="6" t="inlineStr">
        <is>
          <t>Z-GF-03</t>
        </is>
      </c>
      <c r="I71" s="6" t="inlineStr"/>
    </row>
    <row r="72">
      <c r="A72" s="6" t="inlineStr">
        <is>
          <t>E.10</t>
        </is>
      </c>
      <c r="B72" s="6" t="inlineStr">
        <is>
          <t>Volume control damper on fresh air duct</t>
        </is>
      </c>
      <c r="C72" s="6" t="inlineStr">
        <is>
          <t>Ø200</t>
        </is>
      </c>
      <c r="D72" s="6" t="inlineStr">
        <is>
          <t>No.</t>
        </is>
      </c>
      <c r="E72" s="6" t="n">
        <v>1</v>
      </c>
      <c r="F72" s="7" t="n">
        <v>0</v>
      </c>
      <c r="G72" s="6">
        <f>ROUNDUP(E72*(1+F72/100),0)</f>
        <v/>
      </c>
      <c r="H72" s="6" t="inlineStr">
        <is>
          <t>Z-GF-04</t>
        </is>
      </c>
      <c r="I72" s="6" t="inlineStr"/>
    </row>
    <row r="73">
      <c r="A73" s="6" t="inlineStr">
        <is>
          <t>E.11</t>
        </is>
      </c>
      <c r="B73" s="6" t="inlineStr">
        <is>
          <t>Motorised fresh air damper, 24 V on/off, interlocked with indoor unit</t>
        </is>
      </c>
      <c r="C73" s="6" t="inlineStr">
        <is>
          <t>Ø200</t>
        </is>
      </c>
      <c r="D73" s="6" t="inlineStr">
        <is>
          <t>No.</t>
        </is>
      </c>
      <c r="E73" s="6" t="n">
        <v>1</v>
      </c>
      <c r="F73" s="7" t="n">
        <v>0</v>
      </c>
      <c r="G73" s="6">
        <f>ROUNDUP(E73*(1+F73/100),0)</f>
        <v/>
      </c>
      <c r="H73" s="6" t="inlineStr">
        <is>
          <t>Z-GF-04</t>
        </is>
      </c>
      <c r="I73" s="6" t="inlineStr"/>
    </row>
    <row r="74">
      <c r="A74" s="6" t="inlineStr">
        <is>
          <t>E.12</t>
        </is>
      </c>
      <c r="B74" s="6" t="inlineStr">
        <is>
          <t>Volume control damper on fresh air duct</t>
        </is>
      </c>
      <c r="C74" s="6" t="inlineStr">
        <is>
          <t>Ø125</t>
        </is>
      </c>
      <c r="D74" s="6" t="inlineStr">
        <is>
          <t>No.</t>
        </is>
      </c>
      <c r="E74" s="6" t="n">
        <v>1</v>
      </c>
      <c r="F74" s="7" t="n">
        <v>0</v>
      </c>
      <c r="G74" s="6">
        <f>ROUNDUP(E74*(1+F74/100),0)</f>
        <v/>
      </c>
      <c r="H74" s="6" t="inlineStr">
        <is>
          <t>Z-FF-01</t>
        </is>
      </c>
      <c r="I74" s="6" t="inlineStr"/>
    </row>
    <row r="75">
      <c r="A75" s="6" t="inlineStr">
        <is>
          <t>E.13</t>
        </is>
      </c>
      <c r="B75" s="6" t="inlineStr">
        <is>
          <t>Motorised fresh air damper, 24 V on/off, interlocked with indoor unit</t>
        </is>
      </c>
      <c r="C75" s="6" t="inlineStr">
        <is>
          <t>Ø125</t>
        </is>
      </c>
      <c r="D75" s="6" t="inlineStr">
        <is>
          <t>No.</t>
        </is>
      </c>
      <c r="E75" s="6" t="n">
        <v>1</v>
      </c>
      <c r="F75" s="7" t="n">
        <v>0</v>
      </c>
      <c r="G75" s="6">
        <f>ROUNDUP(E75*(1+F75/100),0)</f>
        <v/>
      </c>
      <c r="H75" s="6" t="inlineStr">
        <is>
          <t>Z-FF-01</t>
        </is>
      </c>
      <c r="I75" s="6" t="inlineStr"/>
    </row>
    <row r="76">
      <c r="A76" s="6" t="inlineStr">
        <is>
          <t>E.14</t>
        </is>
      </c>
      <c r="B76" s="6" t="inlineStr">
        <is>
          <t>Volume control damper on fresh air duct</t>
        </is>
      </c>
      <c r="C76" s="6" t="inlineStr">
        <is>
          <t>Ø200</t>
        </is>
      </c>
      <c r="D76" s="6" t="inlineStr">
        <is>
          <t>No.</t>
        </is>
      </c>
      <c r="E76" s="6" t="n">
        <v>1</v>
      </c>
      <c r="F76" s="7" t="n">
        <v>0</v>
      </c>
      <c r="G76" s="6">
        <f>ROUNDUP(E76*(1+F76/100),0)</f>
        <v/>
      </c>
      <c r="H76" s="6" t="inlineStr">
        <is>
          <t>Z-FF-02</t>
        </is>
      </c>
      <c r="I76" s="6" t="inlineStr"/>
    </row>
    <row r="77">
      <c r="A77" s="6" t="inlineStr">
        <is>
          <t>E.15</t>
        </is>
      </c>
      <c r="B77" s="6" t="inlineStr">
        <is>
          <t>Motorised fresh air damper, 24 V on/off, interlocked with indoor unit</t>
        </is>
      </c>
      <c r="C77" s="6" t="inlineStr">
        <is>
          <t>Ø200</t>
        </is>
      </c>
      <c r="D77" s="6" t="inlineStr">
        <is>
          <t>No.</t>
        </is>
      </c>
      <c r="E77" s="6" t="n">
        <v>1</v>
      </c>
      <c r="F77" s="7" t="n">
        <v>0</v>
      </c>
      <c r="G77" s="6">
        <f>ROUNDUP(E77*(1+F77/100),0)</f>
        <v/>
      </c>
      <c r="H77" s="6" t="inlineStr">
        <is>
          <t>Z-FF-02</t>
        </is>
      </c>
      <c r="I77" s="6" t="inlineStr"/>
    </row>
    <row r="78">
      <c r="A78" s="6" t="inlineStr">
        <is>
          <t>E.16</t>
        </is>
      </c>
      <c r="B78" s="6" t="inlineStr">
        <is>
          <t>Backdraft (non-return) damper at exhaust discharge</t>
        </is>
      </c>
      <c r="C78" s="6" t="inlineStr">
        <is>
          <t>Gravity type</t>
        </is>
      </c>
      <c r="D78" s="6" t="inlineStr">
        <is>
          <t>No.</t>
        </is>
      </c>
      <c r="E78" s="6" t="n">
        <v>8</v>
      </c>
      <c r="F78" s="7" t="n">
        <v>0</v>
      </c>
      <c r="G78" s="6">
        <f>ROUNDUP(E78*(1+F78/100),0)</f>
        <v/>
      </c>
      <c r="H78" s="6" t="inlineStr">
        <is>
          <t>All</t>
        </is>
      </c>
      <c r="I78" s="6" t="inlineStr"/>
    </row>
    <row r="79">
      <c r="A79" s="6" t="inlineStr">
        <is>
          <t>E.17</t>
        </is>
      </c>
      <c r="B79" s="6" t="inlineStr">
        <is>
          <t>Fire dampers at fire-rated walls / floors</t>
        </is>
      </c>
      <c r="C79" s="6" t="inlineStr">
        <is>
          <t>UL 555, 1.5 h, fusible link</t>
        </is>
      </c>
      <c r="D79" s="6" t="inlineStr">
        <is>
          <t>No.</t>
        </is>
      </c>
      <c r="E79" s="6" t="n">
        <v>0</v>
      </c>
      <c r="F79" s="7" t="n">
        <v>0</v>
      </c>
      <c r="G79" s="6">
        <f>ROUNDUP(E79*(1+F79/100),0)</f>
        <v/>
      </c>
      <c r="H79" s="6" t="inlineStr">
        <is>
          <t>TBC</t>
        </is>
      </c>
      <c r="I79" s="6" t="inlineStr">
        <is>
          <t>Fire dampers where ducts cross fire-rated walls/floors - fire compartmentation not shown on architectural plan: confirm with fire consultant.</t>
        </is>
      </c>
    </row>
    <row r="81">
      <c r="A81" s="4" t="inlineStr">
        <is>
          <t>F. FANS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6" t="inlineStr">
        <is>
          <t>F.1</t>
        </is>
      </c>
      <c r="B82" s="6" t="inlineStr">
        <is>
          <t>Exhaust fan, ceiling</t>
        </is>
      </c>
      <c r="C82" s="6" t="inlineStr">
        <is>
          <t>EF-25: 25 L/s @ 60 Pa, 15 W</t>
        </is>
      </c>
      <c r="D82" s="6" t="inlineStr">
        <is>
          <t>No.</t>
        </is>
      </c>
      <c r="E82" s="6" t="n">
        <v>4</v>
      </c>
      <c r="F82" s="7" t="n">
        <v>0</v>
      </c>
      <c r="G82" s="6">
        <f>ROUNDUP(E82*(1+F82/100),0)</f>
        <v/>
      </c>
      <c r="H82" s="6" t="inlineStr">
        <is>
          <t>FF</t>
        </is>
      </c>
      <c r="I82" s="6" t="inlineStr">
        <is>
          <t>Tags: EF-FF-01, EF-FF-02, EF-FF-03, EF-FF-04</t>
        </is>
      </c>
    </row>
    <row r="83">
      <c r="A83" s="6" t="inlineStr">
        <is>
          <t>F.2</t>
        </is>
      </c>
      <c r="B83" s="6" t="inlineStr">
        <is>
          <t>Exhaust fan, ceiling</t>
        </is>
      </c>
      <c r="C83" s="6" t="inlineStr">
        <is>
          <t>EF-25: 25 L/s @ 60 Pa, 15 W</t>
        </is>
      </c>
      <c r="D83" s="6" t="inlineStr">
        <is>
          <t>No.</t>
        </is>
      </c>
      <c r="E83" s="6" t="n">
        <v>3</v>
      </c>
      <c r="F83" s="7" t="n">
        <v>0</v>
      </c>
      <c r="G83" s="6">
        <f>ROUNDUP(E83*(1+F83/100),0)</f>
        <v/>
      </c>
      <c r="H83" s="6" t="inlineStr">
        <is>
          <t>GF</t>
        </is>
      </c>
      <c r="I83" s="6" t="inlineStr">
        <is>
          <t>Tags: EF-GF-02, EF-GF-03, EF-GF-04</t>
        </is>
      </c>
    </row>
    <row r="84">
      <c r="A84" s="6" t="inlineStr">
        <is>
          <t>F.3</t>
        </is>
      </c>
      <c r="B84" s="6" t="inlineStr">
        <is>
          <t>Exhaust fan, ceiling</t>
        </is>
      </c>
      <c r="C84" s="6" t="inlineStr">
        <is>
          <t>EF-50: 50 L/s @ 80 Pa, 25 W</t>
        </is>
      </c>
      <c r="D84" s="6" t="inlineStr">
        <is>
          <t>No.</t>
        </is>
      </c>
      <c r="E84" s="6" t="n">
        <v>1</v>
      </c>
      <c r="F84" s="7" t="n">
        <v>0</v>
      </c>
      <c r="G84" s="6">
        <f>ROUNDUP(E84*(1+F84/100),0)</f>
        <v/>
      </c>
      <c r="H84" s="6" t="inlineStr">
        <is>
          <t>GF</t>
        </is>
      </c>
      <c r="I84" s="6" t="inlineStr">
        <is>
          <t>Tags: EF-GF-01</t>
        </is>
      </c>
    </row>
    <row r="86">
      <c r="A86" s="4" t="inlineStr">
        <is>
          <t>G. REFRIGERANT / CHILLED WATER PIPING AND FITTINGS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6" t="inlineStr">
        <is>
          <t>G.1</t>
        </is>
      </c>
      <c r="B87" s="6" t="inlineStr">
        <is>
          <t>Copper refrigerant pipe, ACR grade, seamless, deoxidised</t>
        </is>
      </c>
      <c r="C87" s="6" t="inlineStr">
        <is>
          <t>OD 6.35 mm (1/4")</t>
        </is>
      </c>
      <c r="D87" s="6" t="inlineStr">
        <is>
          <t>m</t>
        </is>
      </c>
      <c r="E87" s="6" t="n">
        <v>63.5</v>
      </c>
      <c r="F87" s="7" t="n">
        <v>10</v>
      </c>
      <c r="G87" s="6">
        <f>ROUND(E87*(1+F87/100),2)</f>
        <v/>
      </c>
      <c r="H87" s="6" t="inlineStr">
        <is>
          <t>All</t>
        </is>
      </c>
      <c r="I87" s="6" t="inlineStr">
        <is>
          <t>riser + floor + roof runs</t>
        </is>
      </c>
    </row>
    <row r="88">
      <c r="A88" s="6" t="inlineStr">
        <is>
          <t>G.2</t>
        </is>
      </c>
      <c r="B88" s="6" t="inlineStr">
        <is>
          <t>Copper refrigerant pipe, ACR grade, seamless, deoxidised</t>
        </is>
      </c>
      <c r="C88" s="6" t="inlineStr">
        <is>
          <t>OD 9.52 mm (3/8")</t>
        </is>
      </c>
      <c r="D88" s="6" t="inlineStr">
        <is>
          <t>m</t>
        </is>
      </c>
      <c r="E88" s="6" t="n">
        <v>97.5</v>
      </c>
      <c r="F88" s="7" t="n">
        <v>10</v>
      </c>
      <c r="G88" s="6">
        <f>ROUND(E88*(1+F88/100),2)</f>
        <v/>
      </c>
      <c r="H88" s="6" t="inlineStr">
        <is>
          <t>All</t>
        </is>
      </c>
      <c r="I88" s="6" t="inlineStr">
        <is>
          <t>riser + floor + roof runs</t>
        </is>
      </c>
    </row>
    <row r="89">
      <c r="A89" s="6" t="inlineStr">
        <is>
          <t>G.3</t>
        </is>
      </c>
      <c r="B89" s="6" t="inlineStr">
        <is>
          <t>Copper refrigerant pipe, ACR grade, seamless, deoxidised</t>
        </is>
      </c>
      <c r="C89" s="6" t="inlineStr">
        <is>
          <t>OD 12.7 mm (1/2")</t>
        </is>
      </c>
      <c r="D89" s="6" t="inlineStr">
        <is>
          <t>m</t>
        </is>
      </c>
      <c r="E89" s="6" t="n">
        <v>47</v>
      </c>
      <c r="F89" s="7" t="n">
        <v>10</v>
      </c>
      <c r="G89" s="6">
        <f>ROUND(E89*(1+F89/100),2)</f>
        <v/>
      </c>
      <c r="H89" s="6" t="inlineStr">
        <is>
          <t>All</t>
        </is>
      </c>
      <c r="I89" s="6" t="inlineStr">
        <is>
          <t>riser + floor + roof runs</t>
        </is>
      </c>
    </row>
    <row r="90">
      <c r="A90" s="6" t="inlineStr">
        <is>
          <t>G.4</t>
        </is>
      </c>
      <c r="B90" s="6" t="inlineStr">
        <is>
          <t>Copper refrigerant pipe, ACR grade, seamless, deoxidised</t>
        </is>
      </c>
      <c r="C90" s="6" t="inlineStr">
        <is>
          <t>OD 15.88 mm (5/8")</t>
        </is>
      </c>
      <c r="D90" s="6" t="inlineStr">
        <is>
          <t>m</t>
        </is>
      </c>
      <c r="E90" s="6" t="n">
        <v>81</v>
      </c>
      <c r="F90" s="7" t="n">
        <v>10</v>
      </c>
      <c r="G90" s="6">
        <f>ROUND(E90*(1+F90/100),2)</f>
        <v/>
      </c>
      <c r="H90" s="6" t="inlineStr">
        <is>
          <t>All</t>
        </is>
      </c>
      <c r="I90" s="6" t="inlineStr">
        <is>
          <t>riser + floor + roof runs</t>
        </is>
      </c>
    </row>
    <row r="91">
      <c r="A91" s="6" t="inlineStr">
        <is>
          <t>G.5</t>
        </is>
      </c>
      <c r="B91" s="6" t="inlineStr">
        <is>
          <t>Copper refrigerant fittings (long-radius elbows / couplings), brazed with nitrogen purge</t>
        </is>
      </c>
      <c r="C91" s="6" t="inlineStr">
        <is>
          <t>OD 6.35 mm</t>
        </is>
      </c>
      <c r="D91" s="6" t="inlineStr">
        <is>
          <t>No.</t>
        </is>
      </c>
      <c r="E91" s="6" t="n">
        <v>24</v>
      </c>
      <c r="F91" s="7" t="n">
        <v>10</v>
      </c>
      <c r="G91" s="6">
        <f>ROUNDUP(E91*(1+F91/100),0)</f>
        <v/>
      </c>
      <c r="H91" s="6" t="inlineStr">
        <is>
          <t>All</t>
        </is>
      </c>
      <c r="I91" s="6" t="inlineStr"/>
    </row>
    <row r="92">
      <c r="A92" s="6" t="inlineStr">
        <is>
          <t>G.6</t>
        </is>
      </c>
      <c r="B92" s="6" t="inlineStr">
        <is>
          <t>Copper refrigerant fittings (long-radius elbows / couplings), brazed with nitrogen purge</t>
        </is>
      </c>
      <c r="C92" s="6" t="inlineStr">
        <is>
          <t>OD 9.52 mm</t>
        </is>
      </c>
      <c r="D92" s="6" t="inlineStr">
        <is>
          <t>No.</t>
        </is>
      </c>
      <c r="E92" s="6" t="n">
        <v>32</v>
      </c>
      <c r="F92" s="7" t="n">
        <v>10</v>
      </c>
      <c r="G92" s="6">
        <f>ROUNDUP(E92*(1+F92/100),0)</f>
        <v/>
      </c>
      <c r="H92" s="6" t="inlineStr">
        <is>
          <t>All</t>
        </is>
      </c>
      <c r="I92" s="6" t="inlineStr"/>
    </row>
    <row r="93">
      <c r="A93" s="6" t="inlineStr">
        <is>
          <t>G.7</t>
        </is>
      </c>
      <c r="B93" s="6" t="inlineStr">
        <is>
          <t>Copper refrigerant fittings (long-radius elbows / couplings), brazed with nitrogen purge</t>
        </is>
      </c>
      <c r="C93" s="6" t="inlineStr">
        <is>
          <t>OD 12.7 mm</t>
        </is>
      </c>
      <c r="D93" s="6" t="inlineStr">
        <is>
          <t>No.</t>
        </is>
      </c>
      <c r="E93" s="6" t="n">
        <v>16</v>
      </c>
      <c r="F93" s="7" t="n">
        <v>10</v>
      </c>
      <c r="G93" s="6">
        <f>ROUNDUP(E93*(1+F93/100),0)</f>
        <v/>
      </c>
      <c r="H93" s="6" t="inlineStr">
        <is>
          <t>All</t>
        </is>
      </c>
      <c r="I93" s="6" t="inlineStr"/>
    </row>
    <row r="94">
      <c r="A94" s="6" t="inlineStr">
        <is>
          <t>G.8</t>
        </is>
      </c>
      <c r="B94" s="6" t="inlineStr">
        <is>
          <t>Copper refrigerant fittings (long-radius elbows / couplings), brazed with nitrogen purge</t>
        </is>
      </c>
      <c r="C94" s="6" t="inlineStr">
        <is>
          <t>OD 15.88 mm</t>
        </is>
      </c>
      <c r="D94" s="6" t="inlineStr">
        <is>
          <t>No.</t>
        </is>
      </c>
      <c r="E94" s="6" t="n">
        <v>24</v>
      </c>
      <c r="F94" s="7" t="n">
        <v>10</v>
      </c>
      <c r="G94" s="6">
        <f>ROUNDUP(E94*(1+F94/100),0)</f>
        <v/>
      </c>
      <c r="H94" s="6" t="inlineStr">
        <is>
          <t>All</t>
        </is>
      </c>
      <c r="I94" s="6" t="inlineStr"/>
    </row>
    <row r="96">
      <c r="A96" s="4" t="inlineStr">
        <is>
          <t>H. THERMAL INSULATION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6" t="inlineStr">
        <is>
          <t>H.1</t>
        </is>
      </c>
      <c r="B97" s="6" t="inlineStr">
        <is>
          <t>Duct insulation (supply / return / fresh air)</t>
        </is>
      </c>
      <c r="C97" s="6" t="inlineStr">
        <is>
          <t>25 mm glass wool 24 kg/m3 with FSK facing (external wrap)</t>
        </is>
      </c>
      <c r="D97" s="6" t="inlineStr">
        <is>
          <t>m²</t>
        </is>
      </c>
      <c r="E97" s="6" t="n">
        <v>39</v>
      </c>
      <c r="F97" s="7" t="n">
        <v>10</v>
      </c>
      <c r="G97" s="6">
        <f>ROUND(E97*(1+F97/100),2)</f>
        <v/>
      </c>
      <c r="H97" s="6" t="inlineStr">
        <is>
          <t>FF</t>
        </is>
      </c>
      <c r="I97" s="6" t="inlineStr"/>
    </row>
    <row r="98">
      <c r="A98" s="6" t="inlineStr">
        <is>
          <t>H.2</t>
        </is>
      </c>
      <c r="B98" s="6" t="inlineStr">
        <is>
          <t>Duct insulation (supply / return / fresh air)</t>
        </is>
      </c>
      <c r="C98" s="6" t="inlineStr">
        <is>
          <t>25 mm glass wool 24 kg/m3 with FSK facing (hot outdoor air)</t>
        </is>
      </c>
      <c r="D98" s="6" t="inlineStr">
        <is>
          <t>m²</t>
        </is>
      </c>
      <c r="E98" s="6" t="n">
        <v>5.29</v>
      </c>
      <c r="F98" s="7" t="n">
        <v>10</v>
      </c>
      <c r="G98" s="6">
        <f>ROUND(E98*(1+F98/100),2)</f>
        <v/>
      </c>
      <c r="H98" s="6" t="inlineStr">
        <is>
          <t>FF</t>
        </is>
      </c>
      <c r="I98" s="6" t="inlineStr"/>
    </row>
    <row r="99">
      <c r="A99" s="6" t="inlineStr">
        <is>
          <t>H.3</t>
        </is>
      </c>
      <c r="B99" s="6" t="inlineStr">
        <is>
          <t>Duct insulation (supply / return / fresh air)</t>
        </is>
      </c>
      <c r="C99" s="6" t="inlineStr">
        <is>
          <t>25 mm glass wool 24 kg/m3 with FSK facing (external wrap)</t>
        </is>
      </c>
      <c r="D99" s="6" t="inlineStr">
        <is>
          <t>m²</t>
        </is>
      </c>
      <c r="E99" s="6" t="n">
        <v>34.11</v>
      </c>
      <c r="F99" s="7" t="n">
        <v>10</v>
      </c>
      <c r="G99" s="6">
        <f>ROUND(E99*(1+F99/100),2)</f>
        <v/>
      </c>
      <c r="H99" s="6" t="inlineStr">
        <is>
          <t>GF</t>
        </is>
      </c>
      <c r="I99" s="6" t="inlineStr"/>
    </row>
    <row r="100">
      <c r="A100" s="6" t="inlineStr">
        <is>
          <t>H.4</t>
        </is>
      </c>
      <c r="B100" s="6" t="inlineStr">
        <is>
          <t>Duct insulation (supply / return / fresh air)</t>
        </is>
      </c>
      <c r="C100" s="6" t="inlineStr">
        <is>
          <t>25 mm glass wool 24 kg/m3 with FSK facing (hot outdoor air)</t>
        </is>
      </c>
      <c r="D100" s="6" t="inlineStr">
        <is>
          <t>m²</t>
        </is>
      </c>
      <c r="E100" s="6" t="n">
        <v>4.95</v>
      </c>
      <c r="F100" s="7" t="n">
        <v>10</v>
      </c>
      <c r="G100" s="6">
        <f>ROUND(E100*(1+F100/100),2)</f>
        <v/>
      </c>
      <c r="H100" s="6" t="inlineStr">
        <is>
          <t>GF</t>
        </is>
      </c>
      <c r="I100" s="6" t="inlineStr"/>
    </row>
    <row r="101">
      <c r="A101" s="6" t="inlineStr">
        <is>
          <t>H.5</t>
        </is>
      </c>
      <c r="B101" s="6" t="inlineStr">
        <is>
          <t>Closed-cell elastomeric pipe insulation, UV-protected outdoors</t>
        </is>
      </c>
      <c r="C101" s="6" t="inlineStr">
        <is>
          <t>for OD 6.35 mm, 13 mm thick</t>
        </is>
      </c>
      <c r="D101" s="6" t="inlineStr">
        <is>
          <t>m</t>
        </is>
      </c>
      <c r="E101" s="6" t="n">
        <v>63.5</v>
      </c>
      <c r="F101" s="7" t="n">
        <v>10</v>
      </c>
      <c r="G101" s="6">
        <f>ROUND(E101*(1+F101/100),2)</f>
        <v/>
      </c>
      <c r="H101" s="6" t="inlineStr">
        <is>
          <t>All</t>
        </is>
      </c>
      <c r="I101" s="6" t="inlineStr"/>
    </row>
    <row r="102">
      <c r="A102" s="6" t="inlineStr">
        <is>
          <t>H.6</t>
        </is>
      </c>
      <c r="B102" s="6" t="inlineStr">
        <is>
          <t>Closed-cell elastomeric pipe insulation, UV-protected outdoors</t>
        </is>
      </c>
      <c r="C102" s="6" t="inlineStr">
        <is>
          <t>for OD 9.52 mm, 19 mm thick</t>
        </is>
      </c>
      <c r="D102" s="6" t="inlineStr">
        <is>
          <t>m</t>
        </is>
      </c>
      <c r="E102" s="6" t="n">
        <v>97.5</v>
      </c>
      <c r="F102" s="7" t="n">
        <v>10</v>
      </c>
      <c r="G102" s="6">
        <f>ROUND(E102*(1+F102/100),2)</f>
        <v/>
      </c>
      <c r="H102" s="6" t="inlineStr">
        <is>
          <t>All</t>
        </is>
      </c>
      <c r="I102" s="6" t="inlineStr"/>
    </row>
    <row r="103">
      <c r="A103" s="6" t="inlineStr">
        <is>
          <t>H.7</t>
        </is>
      </c>
      <c r="B103" s="6" t="inlineStr">
        <is>
          <t>Closed-cell elastomeric pipe insulation, UV-protected outdoors</t>
        </is>
      </c>
      <c r="C103" s="6" t="inlineStr">
        <is>
          <t>for OD 12.7 mm, 19 mm thick</t>
        </is>
      </c>
      <c r="D103" s="6" t="inlineStr">
        <is>
          <t>m</t>
        </is>
      </c>
      <c r="E103" s="6" t="n">
        <v>47</v>
      </c>
      <c r="F103" s="7" t="n">
        <v>10</v>
      </c>
      <c r="G103" s="6">
        <f>ROUND(E103*(1+F103/100),2)</f>
        <v/>
      </c>
      <c r="H103" s="6" t="inlineStr">
        <is>
          <t>All</t>
        </is>
      </c>
      <c r="I103" s="6" t="inlineStr"/>
    </row>
    <row r="104">
      <c r="A104" s="6" t="inlineStr">
        <is>
          <t>H.8</t>
        </is>
      </c>
      <c r="B104" s="6" t="inlineStr">
        <is>
          <t>Closed-cell elastomeric pipe insulation, UV-protected outdoors</t>
        </is>
      </c>
      <c r="C104" s="6" t="inlineStr">
        <is>
          <t>for OD 15.88 mm, 19 mm thick</t>
        </is>
      </c>
      <c r="D104" s="6" t="inlineStr">
        <is>
          <t>m</t>
        </is>
      </c>
      <c r="E104" s="6" t="n">
        <v>81</v>
      </c>
      <c r="F104" s="7" t="n">
        <v>10</v>
      </c>
      <c r="G104" s="6">
        <f>ROUND(E104*(1+F104/100),2)</f>
        <v/>
      </c>
      <c r="H104" s="6" t="inlineStr">
        <is>
          <t>All</t>
        </is>
      </c>
      <c r="I104" s="6" t="inlineStr"/>
    </row>
    <row r="106">
      <c r="A106" s="4" t="inlineStr">
        <is>
          <t>I. CONDENSATE DRAIN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6" t="inlineStr">
        <is>
          <t>I.1</t>
        </is>
      </c>
      <c r="B107" s="6" t="inlineStr">
        <is>
          <t>uPVC condensate pipe incl. fittings, slope 1 %</t>
        </is>
      </c>
      <c r="C107" s="6" t="inlineStr">
        <is>
          <t>Ø25, uPVC Class E / Sch.40, insulated 9 mm where run in ceiling void</t>
        </is>
      </c>
      <c r="D107" s="6" t="inlineStr">
        <is>
          <t>m</t>
        </is>
      </c>
      <c r="E107" s="6" t="n">
        <v>8.91</v>
      </c>
      <c r="F107" s="7" t="n">
        <v>10</v>
      </c>
      <c r="G107" s="6">
        <f>ROUND(E107*(1+F107/100),2)</f>
        <v/>
      </c>
      <c r="H107" s="6" t="inlineStr">
        <is>
          <t>FF</t>
        </is>
      </c>
      <c r="I107" s="6" t="inlineStr">
        <is>
          <t>Tags: CD-IU-FF-01, CD-IU-FF-02</t>
        </is>
      </c>
    </row>
    <row r="108">
      <c r="A108" s="6" t="inlineStr">
        <is>
          <t>I.2</t>
        </is>
      </c>
      <c r="B108" s="6" t="inlineStr">
        <is>
          <t>Condensate trap / P-trap with cleanout at unit</t>
        </is>
      </c>
      <c r="C108" s="6" t="inlineStr">
        <is>
          <t>Ø25</t>
        </is>
      </c>
      <c r="D108" s="6" t="inlineStr">
        <is>
          <t>No.</t>
        </is>
      </c>
      <c r="E108" s="6" t="n">
        <v>2</v>
      </c>
      <c r="F108" s="7" t="n">
        <v>10</v>
      </c>
      <c r="G108" s="6">
        <f>ROUNDUP(E108*(1+F108/100),0)</f>
        <v/>
      </c>
      <c r="H108" s="6" t="inlineStr">
        <is>
          <t>FF</t>
        </is>
      </c>
      <c r="I108" s="6" t="inlineStr"/>
    </row>
    <row r="109">
      <c r="A109" s="6" t="inlineStr">
        <is>
          <t>I.3</t>
        </is>
      </c>
      <c r="B109" s="6" t="inlineStr">
        <is>
          <t>uPVC condensate pipe incl. fittings, slope 1 %</t>
        </is>
      </c>
      <c r="C109" s="6" t="inlineStr">
        <is>
          <t>Ø25, uPVC Class E / Sch.40, insulated 9 mm where run in ceiling void</t>
        </is>
      </c>
      <c r="D109" s="6" t="inlineStr">
        <is>
          <t>m</t>
        </is>
      </c>
      <c r="E109" s="6" t="n">
        <v>21.03</v>
      </c>
      <c r="F109" s="7" t="n">
        <v>10</v>
      </c>
      <c r="G109" s="6">
        <f>ROUND(E109*(1+F109/100),2)</f>
        <v/>
      </c>
      <c r="H109" s="6" t="inlineStr">
        <is>
          <t>GF</t>
        </is>
      </c>
      <c r="I109" s="6" t="inlineStr">
        <is>
          <t>Tags: CD-IU-GF-01, CD-IU-GF-02, CD-IU-GF-03, CD-IU-GF-04</t>
        </is>
      </c>
    </row>
    <row r="110">
      <c r="A110" s="6" t="inlineStr">
        <is>
          <t>I.4</t>
        </is>
      </c>
      <c r="B110" s="6" t="inlineStr">
        <is>
          <t>Condensate trap / P-trap with cleanout at unit</t>
        </is>
      </c>
      <c r="C110" s="6" t="inlineStr">
        <is>
          <t>Ø25</t>
        </is>
      </c>
      <c r="D110" s="6" t="inlineStr">
        <is>
          <t>No.</t>
        </is>
      </c>
      <c r="E110" s="6" t="n">
        <v>4</v>
      </c>
      <c r="F110" s="7" t="n">
        <v>10</v>
      </c>
      <c r="G110" s="6">
        <f>ROUNDUP(E110*(1+F110/100),0)</f>
        <v/>
      </c>
      <c r="H110" s="6" t="inlineStr">
        <is>
          <t>GF</t>
        </is>
      </c>
      <c r="I110" s="6" t="inlineStr"/>
    </row>
    <row r="112">
      <c r="A112" s="4" t="inlineStr">
        <is>
          <t>J. SUPPORTS AND HANGERS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6" t="inlineStr">
        <is>
          <t>J.1</t>
        </is>
      </c>
      <c r="B113" s="6" t="inlineStr">
        <is>
          <t>Duct hangers: threaded rod + angle/strap, galvanised</t>
        </is>
      </c>
      <c r="C113" s="6" t="inlineStr">
        <is>
          <t>@ 2.4 m max (pairs)</t>
        </is>
      </c>
      <c r="D113" s="6" t="inlineStr">
        <is>
          <t>No.</t>
        </is>
      </c>
      <c r="E113" s="6" t="n">
        <v>23</v>
      </c>
      <c r="F113" s="7" t="n">
        <v>5</v>
      </c>
      <c r="G113" s="6">
        <f>ROUNDUP(E113*(1+F113/100),0)</f>
        <v/>
      </c>
      <c r="H113" s="6" t="inlineStr">
        <is>
          <t>FF</t>
        </is>
      </c>
      <c r="I113" s="6" t="inlineStr"/>
    </row>
    <row r="114">
      <c r="A114" s="6" t="inlineStr">
        <is>
          <t>J.2</t>
        </is>
      </c>
      <c r="B114" s="6" t="inlineStr">
        <is>
          <t>Duct hangers: threaded rod + angle/strap, galvanised</t>
        </is>
      </c>
      <c r="C114" s="6" t="inlineStr">
        <is>
          <t>@ 2.4 m max (pairs)</t>
        </is>
      </c>
      <c r="D114" s="6" t="inlineStr">
        <is>
          <t>No.</t>
        </is>
      </c>
      <c r="E114" s="6" t="n">
        <v>19</v>
      </c>
      <c r="F114" s="7" t="n">
        <v>5</v>
      </c>
      <c r="G114" s="6">
        <f>ROUNDUP(E114*(1+F114/100),0)</f>
        <v/>
      </c>
      <c r="H114" s="6" t="inlineStr">
        <is>
          <t>GF</t>
        </is>
      </c>
      <c r="I114" s="6" t="inlineStr"/>
    </row>
    <row r="115">
      <c r="A115" s="6" t="inlineStr">
        <is>
          <t>J.3</t>
        </is>
      </c>
      <c r="B115" s="6" t="inlineStr">
        <is>
          <t>Refrigerant pipe supports / clamps with insulation saddles</t>
        </is>
      </c>
      <c r="C115" s="6" t="inlineStr">
        <is>
          <t>@ 1.2 m</t>
        </is>
      </c>
      <c r="D115" s="6" t="inlineStr">
        <is>
          <t>No.</t>
        </is>
      </c>
      <c r="E115" s="6" t="n">
        <v>121</v>
      </c>
      <c r="F115" s="7" t="n">
        <v>5</v>
      </c>
      <c r="G115" s="6">
        <f>ROUNDUP(E115*(1+F115/100),0)</f>
        <v/>
      </c>
      <c r="H115" s="6" t="inlineStr">
        <is>
          <t>All</t>
        </is>
      </c>
      <c r="I115" s="6" t="inlineStr"/>
    </row>
    <row r="116">
      <c r="A116" s="6" t="inlineStr">
        <is>
          <t>J.4</t>
        </is>
      </c>
      <c r="B116" s="6" t="inlineStr">
        <is>
          <t>Condensate pipe clips</t>
        </is>
      </c>
      <c r="C116" s="6" t="inlineStr">
        <is>
          <t>@ 1.0 m</t>
        </is>
      </c>
      <c r="D116" s="6" t="inlineStr">
        <is>
          <t>No.</t>
        </is>
      </c>
      <c r="E116" s="6" t="n">
        <v>30</v>
      </c>
      <c r="F116" s="7" t="n">
        <v>5</v>
      </c>
      <c r="G116" s="6">
        <f>ROUNDUP(E116*(1+F116/100),0)</f>
        <v/>
      </c>
      <c r="H116" s="6" t="inlineStr">
        <is>
          <t>All</t>
        </is>
      </c>
      <c r="I116" s="6" t="inlineStr"/>
    </row>
    <row r="117">
      <c r="A117" s="6" t="inlineStr">
        <is>
          <t>J.5</t>
        </is>
      </c>
      <c r="B117" s="6" t="inlineStr">
        <is>
          <t>Outdoor unit steel support frame / concrete plinth with anti-vibration pads</t>
        </is>
      </c>
      <c r="C117" s="6" t="inlineStr">
        <is>
          <t>Galvanised, by structural check</t>
        </is>
      </c>
      <c r="D117" s="6" t="inlineStr">
        <is>
          <t>No.</t>
        </is>
      </c>
      <c r="E117" s="6" t="n">
        <v>6</v>
      </c>
      <c r="F117" s="7" t="n">
        <v>5</v>
      </c>
      <c r="G117" s="6">
        <f>ROUNDUP(E117*(1+F117/100),0)</f>
        <v/>
      </c>
      <c r="H117" s="6" t="inlineStr">
        <is>
          <t>Roof</t>
        </is>
      </c>
      <c r="I117" s="6" t="inlineStr"/>
    </row>
    <row r="119">
      <c r="A119" s="4" t="inlineStr">
        <is>
          <t>K. CONTROLS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6" t="inlineStr">
        <is>
          <t>K.1</t>
        </is>
      </c>
      <c r="B120" s="6" t="inlineStr">
        <is>
          <t>Wired room controller</t>
        </is>
      </c>
      <c r="C120" s="6" t="inlineStr">
        <is>
          <t>wired controller</t>
        </is>
      </c>
      <c r="D120" s="6" t="inlineStr">
        <is>
          <t>No.</t>
        </is>
      </c>
      <c r="E120" s="6" t="n">
        <v>1</v>
      </c>
      <c r="F120" s="7" t="n">
        <v>0</v>
      </c>
      <c r="G120" s="6">
        <f>ROUNDUP(E120*(1+F120/100),0)</f>
        <v/>
      </c>
      <c r="H120" s="6" t="inlineStr">
        <is>
          <t>Z-GF-01</t>
        </is>
      </c>
      <c r="I120" s="6" t="inlineStr">
        <is>
          <t>Tags: T-GF-01</t>
        </is>
      </c>
    </row>
    <row r="121">
      <c r="A121" s="6" t="inlineStr">
        <is>
          <t>K.2</t>
        </is>
      </c>
      <c r="B121" s="6" t="inlineStr">
        <is>
          <t>Wired room controller</t>
        </is>
      </c>
      <c r="C121" s="6" t="inlineStr">
        <is>
          <t>wired controller</t>
        </is>
      </c>
      <c r="D121" s="6" t="inlineStr">
        <is>
          <t>No.</t>
        </is>
      </c>
      <c r="E121" s="6" t="n">
        <v>1</v>
      </c>
      <c r="F121" s="7" t="n">
        <v>0</v>
      </c>
      <c r="G121" s="6">
        <f>ROUNDUP(E121*(1+F121/100),0)</f>
        <v/>
      </c>
      <c r="H121" s="6" t="inlineStr">
        <is>
          <t>Z-GF-02</t>
        </is>
      </c>
      <c r="I121" s="6" t="inlineStr">
        <is>
          <t>Tags: T-GF-02</t>
        </is>
      </c>
    </row>
    <row r="122">
      <c r="A122" s="6" t="inlineStr">
        <is>
          <t>K.3</t>
        </is>
      </c>
      <c r="B122" s="6" t="inlineStr">
        <is>
          <t>Wired programmable thermostat / controller</t>
        </is>
      </c>
      <c r="C122" s="6" t="inlineStr">
        <is>
          <t>wired programmable thermostat</t>
        </is>
      </c>
      <c r="D122" s="6" t="inlineStr">
        <is>
          <t>No.</t>
        </is>
      </c>
      <c r="E122" s="6" t="n">
        <v>1</v>
      </c>
      <c r="F122" s="7" t="n">
        <v>0</v>
      </c>
      <c r="G122" s="6">
        <f>ROUNDUP(E122*(1+F122/100),0)</f>
        <v/>
      </c>
      <c r="H122" s="6" t="inlineStr">
        <is>
          <t>Z-GF-03</t>
        </is>
      </c>
      <c r="I122" s="6" t="inlineStr">
        <is>
          <t>Tags: T-GF-03</t>
        </is>
      </c>
    </row>
    <row r="123">
      <c r="A123" s="6" t="inlineStr">
        <is>
          <t>K.4</t>
        </is>
      </c>
      <c r="B123" s="6" t="inlineStr">
        <is>
          <t>Wired programmable thermostat / controller</t>
        </is>
      </c>
      <c r="C123" s="6" t="inlineStr">
        <is>
          <t>wired programmable thermostat</t>
        </is>
      </c>
      <c r="D123" s="6" t="inlineStr">
        <is>
          <t>No.</t>
        </is>
      </c>
      <c r="E123" s="6" t="n">
        <v>1</v>
      </c>
      <c r="F123" s="7" t="n">
        <v>0</v>
      </c>
      <c r="G123" s="6">
        <f>ROUNDUP(E123*(1+F123/100),0)</f>
        <v/>
      </c>
      <c r="H123" s="6" t="inlineStr">
        <is>
          <t>Z-GF-04</t>
        </is>
      </c>
      <c r="I123" s="6" t="inlineStr">
        <is>
          <t>Tags: T-GF-04</t>
        </is>
      </c>
    </row>
    <row r="124">
      <c r="A124" s="6" t="inlineStr">
        <is>
          <t>K.5</t>
        </is>
      </c>
      <c r="B124" s="6" t="inlineStr">
        <is>
          <t>Wired programmable thermostat / controller</t>
        </is>
      </c>
      <c r="C124" s="6" t="inlineStr">
        <is>
          <t>wired programmable thermostat</t>
        </is>
      </c>
      <c r="D124" s="6" t="inlineStr">
        <is>
          <t>No.</t>
        </is>
      </c>
      <c r="E124" s="6" t="n">
        <v>1</v>
      </c>
      <c r="F124" s="7" t="n">
        <v>0</v>
      </c>
      <c r="G124" s="6">
        <f>ROUNDUP(E124*(1+F124/100),0)</f>
        <v/>
      </c>
      <c r="H124" s="6" t="inlineStr">
        <is>
          <t>Z-FF-01</t>
        </is>
      </c>
      <c r="I124" s="6" t="inlineStr">
        <is>
          <t>Tags: T-FF-01</t>
        </is>
      </c>
    </row>
    <row r="125">
      <c r="A125" s="6" t="inlineStr">
        <is>
          <t>K.6</t>
        </is>
      </c>
      <c r="B125" s="6" t="inlineStr">
        <is>
          <t>Wired programmable thermostat / controller</t>
        </is>
      </c>
      <c r="C125" s="6" t="inlineStr">
        <is>
          <t>wired programmable thermostat</t>
        </is>
      </c>
      <c r="D125" s="6" t="inlineStr">
        <is>
          <t>No.</t>
        </is>
      </c>
      <c r="E125" s="6" t="n">
        <v>1</v>
      </c>
      <c r="F125" s="7" t="n">
        <v>0</v>
      </c>
      <c r="G125" s="6">
        <f>ROUNDUP(E125*(1+F125/100),0)</f>
        <v/>
      </c>
      <c r="H125" s="6" t="inlineStr">
        <is>
          <t>Z-FF-02</t>
        </is>
      </c>
      <c r="I125" s="6" t="inlineStr">
        <is>
          <t>Tags: T-FF-02</t>
        </is>
      </c>
    </row>
    <row r="126">
      <c r="A126" s="6" t="inlineStr">
        <is>
          <t>K.7</t>
        </is>
      </c>
      <c r="B126" s="6" t="inlineStr">
        <is>
          <t>Control wiring, interlocks (FA damper / FA fan to unit), communication cable</t>
        </is>
      </c>
      <c r="C126" s="6" t="inlineStr">
        <is>
          <t>Shielded 2-core, in conduit</t>
        </is>
      </c>
      <c r="D126" s="6" t="inlineStr">
        <is>
          <t>Lot</t>
        </is>
      </c>
      <c r="E126" s="6" t="n">
        <v>1</v>
      </c>
      <c r="F126" s="7" t="n">
        <v>0</v>
      </c>
      <c r="G126" s="6">
        <f>ROUNDUP(E126*(1+F126/100),0)</f>
        <v/>
      </c>
      <c r="H126" s="6" t="inlineStr">
        <is>
          <t>All</t>
        </is>
      </c>
      <c r="I126" s="6" t="inlineStr">
        <is>
          <t>4 motorised damper interlocks</t>
        </is>
      </c>
    </row>
    <row r="128">
      <c r="A128" s="4" t="inlineStr">
        <is>
          <t>L. TESTING AND COMMISSIONING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6" t="inlineStr">
        <is>
          <t>L.1</t>
        </is>
      </c>
      <c r="B129" s="6" t="inlineStr">
        <is>
          <t>Pressure testing of refrigerant piping (nitrogen, 24 h hold) and evacuation</t>
        </is>
      </c>
      <c r="C129" s="6" t="inlineStr"/>
      <c r="D129" s="6" t="inlineStr">
        <is>
          <t>Lot</t>
        </is>
      </c>
      <c r="E129" s="6" t="n">
        <v>1</v>
      </c>
      <c r="F129" s="7" t="n">
        <v>0</v>
      </c>
      <c r="G129" s="6">
        <f>ROUNDUP(E129*(1+F129/100),0)</f>
        <v/>
      </c>
      <c r="H129" s="6" t="inlineStr">
        <is>
          <t>All</t>
        </is>
      </c>
      <c r="I129" s="6" t="inlineStr"/>
    </row>
    <row r="130">
      <c r="A130" s="6" t="inlineStr">
        <is>
          <t>L.2</t>
        </is>
      </c>
      <c r="B130" s="6" t="inlineStr">
        <is>
          <t>Ductwork leakage testing per SMACNA HVAC Air Duct Leakage Test Manual / DW/143 (sample basis)</t>
        </is>
      </c>
      <c r="C130" s="6" t="inlineStr"/>
      <c r="D130" s="6" t="inlineStr">
        <is>
          <t>Lot</t>
        </is>
      </c>
      <c r="E130" s="6" t="n">
        <v>1</v>
      </c>
      <c r="F130" s="7" t="n">
        <v>0</v>
      </c>
      <c r="G130" s="6">
        <f>ROUNDUP(E130*(1+F130/100),0)</f>
        <v/>
      </c>
      <c r="H130" s="6" t="inlineStr">
        <is>
          <t>All</t>
        </is>
      </c>
      <c r="I130" s="6" t="inlineStr"/>
    </row>
    <row r="131">
      <c r="A131" s="6" t="inlineStr">
        <is>
          <t>L.3</t>
        </is>
      </c>
      <c r="B131" s="6" t="inlineStr">
        <is>
          <t>Testing, adjusting and balancing (TAB) of all air systems by NEBB/AABC certified agency</t>
        </is>
      </c>
      <c r="C131" s="6" t="inlineStr"/>
      <c r="D131" s="6" t="inlineStr">
        <is>
          <t>Lot</t>
        </is>
      </c>
      <c r="E131" s="6" t="n">
        <v>1</v>
      </c>
      <c r="F131" s="7" t="n">
        <v>0</v>
      </c>
      <c r="G131" s="6">
        <f>ROUNDUP(E131*(1+F131/100),0)</f>
        <v/>
      </c>
      <c r="H131" s="6" t="inlineStr">
        <is>
          <t>All</t>
        </is>
      </c>
      <c r="I131" s="6" t="inlineStr"/>
    </row>
    <row r="132">
      <c r="A132" s="6" t="inlineStr">
        <is>
          <t>L.4</t>
        </is>
      </c>
      <c r="B132" s="6" t="inlineStr">
        <is>
          <t>Commissioning of indoor/outdoor units, fans and controls incl. functional performance tests</t>
        </is>
      </c>
      <c r="C132" s="6" t="inlineStr"/>
      <c r="D132" s="6" t="inlineStr">
        <is>
          <t>Lot</t>
        </is>
      </c>
      <c r="E132" s="6" t="n">
        <v>1</v>
      </c>
      <c r="F132" s="7" t="n">
        <v>0</v>
      </c>
      <c r="G132" s="6">
        <f>ROUNDUP(E132*(1+F132/100),0)</f>
        <v/>
      </c>
      <c r="H132" s="6" t="inlineStr">
        <is>
          <t>All</t>
        </is>
      </c>
      <c r="I132" s="6" t="inlineStr"/>
    </row>
    <row r="133">
      <c r="A133" s="6" t="inlineStr">
        <is>
          <t>L.5</t>
        </is>
      </c>
      <c r="B133" s="6" t="inlineStr">
        <is>
          <t>As-built drawings, O&amp;M manuals and training</t>
        </is>
      </c>
      <c r="C133" s="6" t="inlineStr"/>
      <c r="D133" s="6" t="inlineStr">
        <is>
          <t>Lot</t>
        </is>
      </c>
      <c r="E133" s="6" t="n">
        <v>1</v>
      </c>
      <c r="F133" s="7" t="n">
        <v>0</v>
      </c>
      <c r="G133" s="6">
        <f>ROUNDUP(E133*(1+F133/100),0)</f>
        <v/>
      </c>
      <c r="H133" s="6" t="inlineStr">
        <is>
          <t>All</t>
        </is>
      </c>
      <c r="I13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PRELIMINARY DESIGN - FOR COORDINATION ONLY. To be checked and stamped by a qualified HVAC engineer before construction.</t>
        </is>
      </c>
    </row>
    <row r="2">
      <c r="A2" t="inlineStr"/>
    </row>
    <row r="3">
      <c r="A3" t="inlineStr">
        <is>
          <t>Quantities are measured from the preliminary design model (design.json) and include the waste/allowance % shown (editable, yellow cells).</t>
        </is>
      </c>
    </row>
    <row r="4">
      <c r="A4" t="inlineStr">
        <is>
          <t>Ductwork measured as external surface area of straight duct by gauge; fittings covered by the allowance.</t>
        </is>
      </c>
    </row>
    <row r="5">
      <c r="A5" t="inlineStr">
        <is>
          <t>Equipment and terminals are generic sizes - replace with the approved brand's model numbers.</t>
        </is>
      </c>
    </row>
    <row r="6">
      <c r="A6" t="inlineStr">
        <is>
          <t>Fire dampers, builder's work openings, electrical power wiring and BMS integration are excluded / TBC.</t>
        </is>
      </c>
    </row>
    <row r="7">
      <c r="A7" t="inlineStr"/>
    </row>
    <row r="8">
      <c r="A8" t="inlineStr">
        <is>
          <t>See assumptions.md and the design calculation report for the design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2026-10-15T14:22:01Z</dcterms:created>
  <dcterms:modified xmlns:dcterms="http://purl.org/dc/terms/" xmlns:xsi="http://www.w3.org/2001/XMLSchema-instance" xsi:type="dcterms:W3CDTF">2026-10-15T14:22:01Z</dcterms:modified>
</cp:coreProperties>
</file>